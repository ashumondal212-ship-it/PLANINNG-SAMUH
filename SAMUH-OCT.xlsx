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7bbe2cceaff0194/Desktop/Daily Work/OCTOBER/"/>
    </mc:Choice>
  </mc:AlternateContent>
  <xr:revisionPtr revIDLastSave="73" documentId="8_{5A7CB10E-8C58-4D67-A9B1-1D7EE5176F33}" xr6:coauthVersionLast="47" xr6:coauthVersionMax="47" xr10:uidLastSave="{0F9E03F3-7826-4C4F-A39B-5EE894E159F0}"/>
  <bookViews>
    <workbookView xWindow="-120" yWindow="-120" windowWidth="20730" windowHeight="11040" tabRatio="758" firstSheet="2" activeTab="2" xr2:uid="{00000000-000D-0000-FFFF-FFFF00000000}"/>
  </bookViews>
  <sheets>
    <sheet name="Overall Tracker" sheetId="1" r:id="rId1"/>
    <sheet name="Plant-wise Tracker" sheetId="2" r:id="rId2"/>
    <sheet name="Master Data" sheetId="3" r:id="rId3"/>
  </sheets>
  <definedNames>
    <definedName name="_xlnm._FilterDatabase" localSheetId="2" hidden="1">'Master Data'!$A$2:$AU$113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R113" i="3" l="1"/>
  <c r="AS113" i="3" s="1"/>
  <c r="C113" i="3"/>
  <c r="A113" i="3"/>
  <c r="A124" i="2" s="1"/>
  <c r="AR112" i="3"/>
  <c r="AS112" i="3" s="1"/>
  <c r="F152" i="1" s="1"/>
  <c r="C112" i="3"/>
  <c r="A112" i="3"/>
  <c r="AR111" i="3"/>
  <c r="AS111" i="3" s="1"/>
  <c r="F151" i="1" s="1"/>
  <c r="C111" i="3"/>
  <c r="C121" i="2" s="1"/>
  <c r="A111" i="3"/>
  <c r="AR110" i="3"/>
  <c r="AS110" i="3" s="1"/>
  <c r="F150" i="1" s="1"/>
  <c r="C110" i="3"/>
  <c r="C120" i="2" s="1"/>
  <c r="A110" i="3"/>
  <c r="A120" i="2" s="1"/>
  <c r="AR109" i="3"/>
  <c r="AS109" i="3" s="1"/>
  <c r="F149" i="1" s="1"/>
  <c r="C109" i="3"/>
  <c r="A109" i="3"/>
  <c r="A119" i="2" s="1"/>
  <c r="AR108" i="3"/>
  <c r="AS108" i="3" s="1"/>
  <c r="F148" i="1" s="1"/>
  <c r="C108" i="3"/>
  <c r="A108" i="3"/>
  <c r="AR107" i="3"/>
  <c r="AS107" i="3" s="1"/>
  <c r="F147" i="1" s="1"/>
  <c r="C107" i="3"/>
  <c r="C117" i="2" s="1"/>
  <c r="A107" i="3"/>
  <c r="AR106" i="3"/>
  <c r="AS106" i="3" s="1"/>
  <c r="F146" i="1" s="1"/>
  <c r="C106" i="3"/>
  <c r="C116" i="2" s="1"/>
  <c r="A106" i="3"/>
  <c r="A116" i="2" s="1"/>
  <c r="AR105" i="3"/>
  <c r="AS105" i="3" s="1"/>
  <c r="C105" i="3"/>
  <c r="A105" i="3"/>
  <c r="A115" i="2" s="1"/>
  <c r="AR104" i="3"/>
  <c r="AS104" i="3" s="1"/>
  <c r="F144" i="1" s="1"/>
  <c r="C104" i="3"/>
  <c r="A104" i="3"/>
  <c r="AR103" i="3"/>
  <c r="AS103" i="3" s="1"/>
  <c r="F143" i="1" s="1"/>
  <c r="C103" i="3"/>
  <c r="C113" i="2" s="1"/>
  <c r="A103" i="3"/>
  <c r="AR102" i="3"/>
  <c r="AS102" i="3" s="1"/>
  <c r="F142" i="1" s="1"/>
  <c r="C102" i="3"/>
  <c r="C112" i="2" s="1"/>
  <c r="A102" i="3"/>
  <c r="A112" i="2" s="1"/>
  <c r="AR101" i="3"/>
  <c r="AS101" i="3" s="1"/>
  <c r="C101" i="3"/>
  <c r="A101" i="3"/>
  <c r="A111" i="2" s="1"/>
  <c r="AR100" i="3"/>
  <c r="AS100" i="3" s="1"/>
  <c r="F140" i="1" s="1"/>
  <c r="C100" i="3"/>
  <c r="A100" i="3"/>
  <c r="AR99" i="3"/>
  <c r="AS99" i="3" s="1"/>
  <c r="F139" i="1" s="1"/>
  <c r="C99" i="3"/>
  <c r="C109" i="2" s="1"/>
  <c r="A99" i="3"/>
  <c r="AR98" i="3"/>
  <c r="AS98" i="3" s="1"/>
  <c r="F138" i="1" s="1"/>
  <c r="C98" i="3"/>
  <c r="C108" i="2" s="1"/>
  <c r="A98" i="3"/>
  <c r="A108" i="2" s="1"/>
  <c r="AR97" i="3"/>
  <c r="AS97" i="3" s="1"/>
  <c r="C97" i="3"/>
  <c r="A97" i="3"/>
  <c r="A107" i="2" s="1"/>
  <c r="AR96" i="3"/>
  <c r="AS96" i="3" s="1"/>
  <c r="F136" i="1" s="1"/>
  <c r="C96" i="3"/>
  <c r="A96" i="3"/>
  <c r="AR95" i="3"/>
  <c r="AS95" i="3" s="1"/>
  <c r="F135" i="1" s="1"/>
  <c r="C95" i="3"/>
  <c r="C105" i="2" s="1"/>
  <c r="A95" i="3"/>
  <c r="AR94" i="3"/>
  <c r="AS94" i="3" s="1"/>
  <c r="F134" i="1" s="1"/>
  <c r="C94" i="3"/>
  <c r="C104" i="2" s="1"/>
  <c r="A94" i="3"/>
  <c r="A104" i="2" s="1"/>
  <c r="AR93" i="3"/>
  <c r="AS93" i="3" s="1"/>
  <c r="C93" i="3"/>
  <c r="A93" i="3"/>
  <c r="A103" i="2" s="1"/>
  <c r="AR92" i="3"/>
  <c r="AS92" i="3" s="1"/>
  <c r="F132" i="1" s="1"/>
  <c r="C92" i="3"/>
  <c r="A92" i="3"/>
  <c r="AR91" i="3"/>
  <c r="AS91" i="3" s="1"/>
  <c r="F131" i="1" s="1"/>
  <c r="C91" i="3"/>
  <c r="C100" i="2" s="1"/>
  <c r="A91" i="3"/>
  <c r="AR90" i="3"/>
  <c r="AS90" i="3" s="1"/>
  <c r="F130" i="1" s="1"/>
  <c r="C90" i="3"/>
  <c r="C98" i="2" s="1"/>
  <c r="A90" i="3"/>
  <c r="A98" i="2" s="1"/>
  <c r="AR89" i="3"/>
  <c r="AS89" i="3" s="1"/>
  <c r="F129" i="1" s="1"/>
  <c r="C89" i="3"/>
  <c r="A89" i="3"/>
  <c r="A97" i="2" s="1"/>
  <c r="AR88" i="3"/>
  <c r="AS88" i="3" s="1"/>
  <c r="F128" i="1" s="1"/>
  <c r="C88" i="3"/>
  <c r="A88" i="3"/>
  <c r="AR87" i="3"/>
  <c r="AS87" i="3" s="1"/>
  <c r="C87" i="3"/>
  <c r="C94" i="2" s="1"/>
  <c r="A87" i="3"/>
  <c r="AR86" i="3"/>
  <c r="AS86" i="3" s="1"/>
  <c r="F126" i="1" s="1"/>
  <c r="C86" i="3"/>
  <c r="C92" i="2" s="1"/>
  <c r="A86" i="3"/>
  <c r="A92" i="2" s="1"/>
  <c r="AR85" i="3"/>
  <c r="AS85" i="3" s="1"/>
  <c r="C85" i="3"/>
  <c r="A85" i="3"/>
  <c r="A91" i="2" s="1"/>
  <c r="AR84" i="3"/>
  <c r="AS84" i="3" s="1"/>
  <c r="F124" i="1" s="1"/>
  <c r="C84" i="3"/>
  <c r="A84" i="3"/>
  <c r="AR83" i="3"/>
  <c r="AS83" i="3" s="1"/>
  <c r="AU83" i="3" s="1"/>
  <c r="H123" i="1" s="1"/>
  <c r="C83" i="3"/>
  <c r="C89" i="2" s="1"/>
  <c r="A83" i="3"/>
  <c r="AR82" i="3"/>
  <c r="AS82" i="3" s="1"/>
  <c r="F122" i="1" s="1"/>
  <c r="C82" i="3"/>
  <c r="C88" i="2" s="1"/>
  <c r="A82" i="3"/>
  <c r="A88" i="2" s="1"/>
  <c r="AR81" i="3"/>
  <c r="AS81" i="3" s="1"/>
  <c r="AU81" i="3" s="1"/>
  <c r="H121" i="1" s="1"/>
  <c r="C81" i="3"/>
  <c r="A81" i="3"/>
  <c r="A87" i="2" s="1"/>
  <c r="AR80" i="3"/>
  <c r="AS80" i="3" s="1"/>
  <c r="F120" i="1" s="1"/>
  <c r="C80" i="3"/>
  <c r="A80" i="3"/>
  <c r="AR79" i="3"/>
  <c r="AS79" i="3" s="1"/>
  <c r="C79" i="3"/>
  <c r="C85" i="2" s="1"/>
  <c r="A79" i="3"/>
  <c r="AR78" i="3"/>
  <c r="AS78" i="3" s="1"/>
  <c r="F118" i="1" s="1"/>
  <c r="C78" i="3"/>
  <c r="C84" i="2" s="1"/>
  <c r="A78" i="3"/>
  <c r="A84" i="2" s="1"/>
  <c r="AR77" i="3"/>
  <c r="AS77" i="3" s="1"/>
  <c r="AU77" i="3" s="1"/>
  <c r="H117" i="1" s="1"/>
  <c r="C77" i="3"/>
  <c r="A77" i="3"/>
  <c r="AR76" i="3"/>
  <c r="AS76" i="3" s="1"/>
  <c r="F116" i="1" s="1"/>
  <c r="C76" i="3"/>
  <c r="A76" i="3"/>
  <c r="AR75" i="3"/>
  <c r="AS75" i="3" s="1"/>
  <c r="AU75" i="3" s="1"/>
  <c r="H115" i="1" s="1"/>
  <c r="C75" i="3"/>
  <c r="C81" i="2" s="1"/>
  <c r="A75" i="3"/>
  <c r="AR74" i="3"/>
  <c r="AS74" i="3" s="1"/>
  <c r="F114" i="1" s="1"/>
  <c r="C74" i="3"/>
  <c r="C80" i="2" s="1"/>
  <c r="A74" i="3"/>
  <c r="A80" i="2" s="1"/>
  <c r="AR73" i="3"/>
  <c r="AS73" i="3" s="1"/>
  <c r="AU73" i="3" s="1"/>
  <c r="H113" i="1" s="1"/>
  <c r="C73" i="3"/>
  <c r="A73" i="3"/>
  <c r="A79" i="2" s="1"/>
  <c r="AR72" i="3"/>
  <c r="AS72" i="3" s="1"/>
  <c r="F112" i="1" s="1"/>
  <c r="C72" i="3"/>
  <c r="A72" i="3"/>
  <c r="AR71" i="3"/>
  <c r="AS71" i="3" s="1"/>
  <c r="AU71" i="3" s="1"/>
  <c r="H111" i="1" s="1"/>
  <c r="C71" i="3"/>
  <c r="C77" i="2" s="1"/>
  <c r="A71" i="3"/>
  <c r="AR70" i="3"/>
  <c r="AS70" i="3" s="1"/>
  <c r="F110" i="1" s="1"/>
  <c r="C70" i="3"/>
  <c r="C76" i="2" s="1"/>
  <c r="A70" i="3"/>
  <c r="A76" i="2" s="1"/>
  <c r="AR69" i="3"/>
  <c r="AS69" i="3" s="1"/>
  <c r="AU69" i="3" s="1"/>
  <c r="H109" i="1" s="1"/>
  <c r="C69" i="3"/>
  <c r="A69" i="3"/>
  <c r="A75" i="2" s="1"/>
  <c r="AR68" i="3"/>
  <c r="AS68" i="3" s="1"/>
  <c r="AU68" i="3" s="1"/>
  <c r="H108" i="1" s="1"/>
  <c r="C68" i="3"/>
  <c r="A68" i="3"/>
  <c r="AR67" i="3"/>
  <c r="AS67" i="3" s="1"/>
  <c r="AU67" i="3" s="1"/>
  <c r="H107" i="1" s="1"/>
  <c r="C67" i="3"/>
  <c r="C73" i="2" s="1"/>
  <c r="A67" i="3"/>
  <c r="AR66" i="3"/>
  <c r="AS66" i="3" s="1"/>
  <c r="AU66" i="3" s="1"/>
  <c r="H106" i="1" s="1"/>
  <c r="C66" i="3"/>
  <c r="C72" i="2" s="1"/>
  <c r="A66" i="3"/>
  <c r="A72" i="2" s="1"/>
  <c r="AR65" i="3"/>
  <c r="AS65" i="3" s="1"/>
  <c r="AU65" i="3" s="1"/>
  <c r="H105" i="1" s="1"/>
  <c r="C65" i="3"/>
  <c r="A65" i="3"/>
  <c r="A70" i="2" s="1"/>
  <c r="AR64" i="3"/>
  <c r="AS64" i="3" s="1"/>
  <c r="AU64" i="3" s="1"/>
  <c r="H104" i="1" s="1"/>
  <c r="C64" i="3"/>
  <c r="A64" i="3"/>
  <c r="AR63" i="3"/>
  <c r="AS63" i="3" s="1"/>
  <c r="AU63" i="3" s="1"/>
  <c r="H103" i="1" s="1"/>
  <c r="C63" i="3"/>
  <c r="C68" i="2" s="1"/>
  <c r="A63" i="3"/>
  <c r="AR62" i="3"/>
  <c r="AS62" i="3" s="1"/>
  <c r="AU62" i="3" s="1"/>
  <c r="H102" i="1" s="1"/>
  <c r="C62" i="3"/>
  <c r="C67" i="2" s="1"/>
  <c r="A62" i="3"/>
  <c r="A67" i="2" s="1"/>
  <c r="AR61" i="3"/>
  <c r="AS61" i="3" s="1"/>
  <c r="AU61" i="3" s="1"/>
  <c r="H101" i="1" s="1"/>
  <c r="C61" i="3"/>
  <c r="A61" i="3"/>
  <c r="A66" i="2" s="1"/>
  <c r="AR60" i="3"/>
  <c r="AS60" i="3" s="1"/>
  <c r="AU60" i="3" s="1"/>
  <c r="H100" i="1" s="1"/>
  <c r="C60" i="3"/>
  <c r="A60" i="3"/>
  <c r="AR59" i="3"/>
  <c r="AS59" i="3" s="1"/>
  <c r="AU59" i="3" s="1"/>
  <c r="H99" i="1" s="1"/>
  <c r="C59" i="3"/>
  <c r="C64" i="2" s="1"/>
  <c r="A59" i="3"/>
  <c r="AR58" i="3"/>
  <c r="AS58" i="3" s="1"/>
  <c r="AU58" i="3" s="1"/>
  <c r="H98" i="1" s="1"/>
  <c r="C58" i="3"/>
  <c r="C63" i="2" s="1"/>
  <c r="A58" i="3"/>
  <c r="A63" i="2" s="1"/>
  <c r="AR57" i="3"/>
  <c r="AS57" i="3" s="1"/>
  <c r="AU57" i="3" s="1"/>
  <c r="H97" i="1" s="1"/>
  <c r="C57" i="3"/>
  <c r="A57" i="3"/>
  <c r="A62" i="2" s="1"/>
  <c r="AR56" i="3"/>
  <c r="AS56" i="3" s="1"/>
  <c r="AU56" i="3" s="1"/>
  <c r="H96" i="1" s="1"/>
  <c r="C56" i="3"/>
  <c r="A56" i="3"/>
  <c r="AR55" i="3"/>
  <c r="AS55" i="3" s="1"/>
  <c r="AU55" i="3" s="1"/>
  <c r="H95" i="1" s="1"/>
  <c r="C55" i="3"/>
  <c r="C60" i="2" s="1"/>
  <c r="A55" i="3"/>
  <c r="AR54" i="3"/>
  <c r="AS54" i="3" s="1"/>
  <c r="AU54" i="3" s="1"/>
  <c r="H94" i="1" s="1"/>
  <c r="C54" i="3"/>
  <c r="C59" i="2" s="1"/>
  <c r="A54" i="3"/>
  <c r="A59" i="2" s="1"/>
  <c r="AR53" i="3"/>
  <c r="AS53" i="3" s="1"/>
  <c r="AU53" i="3" s="1"/>
  <c r="H93" i="1" s="1"/>
  <c r="C53" i="3"/>
  <c r="A53" i="3"/>
  <c r="A58" i="2" s="1"/>
  <c r="AR52" i="3"/>
  <c r="AS52" i="3" s="1"/>
  <c r="AU52" i="3" s="1"/>
  <c r="H92" i="1" s="1"/>
  <c r="C52" i="3"/>
  <c r="A52" i="3"/>
  <c r="AR51" i="3"/>
  <c r="AS51" i="3" s="1"/>
  <c r="C51" i="3"/>
  <c r="C56" i="2" s="1"/>
  <c r="A51" i="3"/>
  <c r="AR50" i="3"/>
  <c r="AS50" i="3" s="1"/>
  <c r="AU50" i="3" s="1"/>
  <c r="H90" i="1" s="1"/>
  <c r="C50" i="3"/>
  <c r="C55" i="2" s="1"/>
  <c r="A50" i="3"/>
  <c r="A55" i="2" s="1"/>
  <c r="AR49" i="3"/>
  <c r="AS49" i="3" s="1"/>
  <c r="AU49" i="3" s="1"/>
  <c r="H89" i="1" s="1"/>
  <c r="C49" i="3"/>
  <c r="A49" i="3"/>
  <c r="A54" i="2" s="1"/>
  <c r="AR48" i="3"/>
  <c r="AS48" i="3" s="1"/>
  <c r="AU48" i="3" s="1"/>
  <c r="H88" i="1" s="1"/>
  <c r="C48" i="3"/>
  <c r="A48" i="3"/>
  <c r="AR47" i="3"/>
  <c r="AS47" i="3" s="1"/>
  <c r="C47" i="3"/>
  <c r="C52" i="2" s="1"/>
  <c r="A47" i="3"/>
  <c r="AR46" i="3"/>
  <c r="AS46" i="3" s="1"/>
  <c r="AU46" i="3" s="1"/>
  <c r="H86" i="1" s="1"/>
  <c r="C46" i="3"/>
  <c r="C51" i="2" s="1"/>
  <c r="A46" i="3"/>
  <c r="A51" i="2" s="1"/>
  <c r="AR45" i="3"/>
  <c r="AS45" i="3" s="1"/>
  <c r="AU45" i="3" s="1"/>
  <c r="H85" i="1" s="1"/>
  <c r="C45" i="3"/>
  <c r="A45" i="3"/>
  <c r="A50" i="2" s="1"/>
  <c r="AR44" i="3"/>
  <c r="AS44" i="3" s="1"/>
  <c r="AU44" i="3" s="1"/>
  <c r="H84" i="1" s="1"/>
  <c r="C44" i="3"/>
  <c r="A44" i="3"/>
  <c r="AR43" i="3"/>
  <c r="AS43" i="3" s="1"/>
  <c r="AU43" i="3" s="1"/>
  <c r="H83" i="1" s="1"/>
  <c r="C43" i="3"/>
  <c r="C47" i="2" s="1"/>
  <c r="A43" i="3"/>
  <c r="AR42" i="3"/>
  <c r="AS42" i="3" s="1"/>
  <c r="AU42" i="3" s="1"/>
  <c r="H82" i="1" s="1"/>
  <c r="C42" i="3"/>
  <c r="C46" i="2" s="1"/>
  <c r="A42" i="3"/>
  <c r="A46" i="2" s="1"/>
  <c r="AR41" i="3"/>
  <c r="AS41" i="3" s="1"/>
  <c r="AU41" i="3" s="1"/>
  <c r="H81" i="1" s="1"/>
  <c r="C41" i="3"/>
  <c r="A41" i="3"/>
  <c r="A45" i="2" s="1"/>
  <c r="AR40" i="3"/>
  <c r="AS40" i="3" s="1"/>
  <c r="AU40" i="3" s="1"/>
  <c r="H80" i="1" s="1"/>
  <c r="C40" i="3"/>
  <c r="A40" i="3"/>
  <c r="AR39" i="3"/>
  <c r="AS39" i="3" s="1"/>
  <c r="AU39" i="3" s="1"/>
  <c r="H79" i="1" s="1"/>
  <c r="C39" i="3"/>
  <c r="C43" i="2" s="1"/>
  <c r="A39" i="3"/>
  <c r="AR38" i="3"/>
  <c r="AS38" i="3" s="1"/>
  <c r="AU38" i="3" s="1"/>
  <c r="H78" i="1" s="1"/>
  <c r="C38" i="3"/>
  <c r="C42" i="2" s="1"/>
  <c r="A38" i="3"/>
  <c r="A42" i="2" s="1"/>
  <c r="AR37" i="3"/>
  <c r="AS37" i="3" s="1"/>
  <c r="AU37" i="3" s="1"/>
  <c r="H77" i="1" s="1"/>
  <c r="C37" i="3"/>
  <c r="A37" i="3"/>
  <c r="A41" i="2" s="1"/>
  <c r="AR36" i="3"/>
  <c r="AS36" i="3" s="1"/>
  <c r="AU36" i="3" s="1"/>
  <c r="H76" i="1" s="1"/>
  <c r="C36" i="3"/>
  <c r="A36" i="3"/>
  <c r="AR35" i="3"/>
  <c r="AS35" i="3" s="1"/>
  <c r="AU35" i="3" s="1"/>
  <c r="H75" i="1" s="1"/>
  <c r="C35" i="3"/>
  <c r="C39" i="2" s="1"/>
  <c r="A35" i="3"/>
  <c r="AR34" i="3"/>
  <c r="AS34" i="3" s="1"/>
  <c r="AU34" i="3" s="1"/>
  <c r="H74" i="1" s="1"/>
  <c r="C34" i="3"/>
  <c r="C38" i="2" s="1"/>
  <c r="A34" i="3"/>
  <c r="A38" i="2" s="1"/>
  <c r="AR33" i="3"/>
  <c r="AS33" i="3" s="1"/>
  <c r="AU33" i="3" s="1"/>
  <c r="H73" i="1" s="1"/>
  <c r="C33" i="3"/>
  <c r="A33" i="3"/>
  <c r="A37" i="2" s="1"/>
  <c r="AR32" i="3"/>
  <c r="AS32" i="3" s="1"/>
  <c r="AU32" i="3" s="1"/>
  <c r="H72" i="1" s="1"/>
  <c r="C32" i="3"/>
  <c r="A32" i="3"/>
  <c r="AR31" i="3"/>
  <c r="AS31" i="3" s="1"/>
  <c r="AU31" i="3" s="1"/>
  <c r="H71" i="1" s="1"/>
  <c r="C31" i="3"/>
  <c r="C35" i="2" s="1"/>
  <c r="A31" i="3"/>
  <c r="AR30" i="3"/>
  <c r="AS30" i="3" s="1"/>
  <c r="AU30" i="3" s="1"/>
  <c r="H70" i="1" s="1"/>
  <c r="C30" i="3"/>
  <c r="C34" i="2" s="1"/>
  <c r="A30" i="3"/>
  <c r="A34" i="2" s="1"/>
  <c r="AR29" i="3"/>
  <c r="AS29" i="3" s="1"/>
  <c r="AU29" i="3" s="1"/>
  <c r="H69" i="1" s="1"/>
  <c r="C29" i="3"/>
  <c r="A29" i="3"/>
  <c r="A33" i="2" s="1"/>
  <c r="AR28" i="3"/>
  <c r="AS28" i="3" s="1"/>
  <c r="F68" i="1" s="1"/>
  <c r="C28" i="3"/>
  <c r="A28" i="3"/>
  <c r="AR27" i="3"/>
  <c r="AS27" i="3" s="1"/>
  <c r="F67" i="1" s="1"/>
  <c r="C27" i="3"/>
  <c r="C31" i="2" s="1"/>
  <c r="A27" i="3"/>
  <c r="AR26" i="3"/>
  <c r="AS26" i="3" s="1"/>
  <c r="F66" i="1" s="1"/>
  <c r="C26" i="3"/>
  <c r="C30" i="2" s="1"/>
  <c r="A26" i="3"/>
  <c r="A30" i="2" s="1"/>
  <c r="AR25" i="3"/>
  <c r="AS25" i="3" s="1"/>
  <c r="F65" i="1" s="1"/>
  <c r="C25" i="3"/>
  <c r="A25" i="3"/>
  <c r="A29" i="2" s="1"/>
  <c r="AR24" i="3"/>
  <c r="AS24" i="3" s="1"/>
  <c r="F64" i="1" s="1"/>
  <c r="C24" i="3"/>
  <c r="A24" i="3"/>
  <c r="AR23" i="3"/>
  <c r="AS23" i="3" s="1"/>
  <c r="F63" i="1" s="1"/>
  <c r="C23" i="3"/>
  <c r="C26" i="2" s="1"/>
  <c r="A23" i="3"/>
  <c r="AR22" i="3"/>
  <c r="AS22" i="3" s="1"/>
  <c r="F62" i="1" s="1"/>
  <c r="C22" i="3"/>
  <c r="C25" i="2" s="1"/>
  <c r="A22" i="3"/>
  <c r="A25" i="2" s="1"/>
  <c r="AR21" i="3"/>
  <c r="AS21" i="3" s="1"/>
  <c r="F61" i="1" s="1"/>
  <c r="C21" i="3"/>
  <c r="A21" i="3"/>
  <c r="A24" i="2" s="1"/>
  <c r="AR20" i="3"/>
  <c r="AS20" i="3" s="1"/>
  <c r="C20" i="3"/>
  <c r="A20" i="3"/>
  <c r="AR19" i="3"/>
  <c r="AS19" i="3" s="1"/>
  <c r="F59" i="1" s="1"/>
  <c r="C19" i="3"/>
  <c r="C22" i="2" s="1"/>
  <c r="A19" i="3"/>
  <c r="AR18" i="3"/>
  <c r="AS18" i="3" s="1"/>
  <c r="F58" i="1" s="1"/>
  <c r="C18" i="3"/>
  <c r="C21" i="2" s="1"/>
  <c r="A18" i="3"/>
  <c r="A21" i="2" s="1"/>
  <c r="AR17" i="3"/>
  <c r="AS17" i="3" s="1"/>
  <c r="F57" i="1" s="1"/>
  <c r="C17" i="3"/>
  <c r="A17" i="3"/>
  <c r="A20" i="2" s="1"/>
  <c r="AR16" i="3"/>
  <c r="AS16" i="3" s="1"/>
  <c r="F56" i="1" s="1"/>
  <c r="C16" i="3"/>
  <c r="A16" i="3"/>
  <c r="AR15" i="3"/>
  <c r="AS15" i="3" s="1"/>
  <c r="F55" i="1" s="1"/>
  <c r="C15" i="3"/>
  <c r="C18" i="2" s="1"/>
  <c r="A15" i="3"/>
  <c r="AR14" i="3"/>
  <c r="AS14" i="3" s="1"/>
  <c r="F54" i="1" s="1"/>
  <c r="C14" i="3"/>
  <c r="C17" i="2" s="1"/>
  <c r="A14" i="3"/>
  <c r="A17" i="2" s="1"/>
  <c r="AR13" i="3"/>
  <c r="AS13" i="3" s="1"/>
  <c r="C13" i="3"/>
  <c r="A13" i="3"/>
  <c r="A16" i="2" s="1"/>
  <c r="AR12" i="3"/>
  <c r="AS12" i="3" s="1"/>
  <c r="F52" i="1" s="1"/>
  <c r="C12" i="3"/>
  <c r="A12" i="3"/>
  <c r="AR11" i="3"/>
  <c r="AS11" i="3" s="1"/>
  <c r="F51" i="1" s="1"/>
  <c r="C11" i="3"/>
  <c r="C14" i="2" s="1"/>
  <c r="A11" i="3"/>
  <c r="AR10" i="3"/>
  <c r="AS10" i="3" s="1"/>
  <c r="C10" i="3"/>
  <c r="C13" i="2" s="1"/>
  <c r="A10" i="3"/>
  <c r="A13" i="2" s="1"/>
  <c r="AR9" i="3"/>
  <c r="AS9" i="3" s="1"/>
  <c r="F49" i="1" s="1"/>
  <c r="C9" i="3"/>
  <c r="A9" i="3"/>
  <c r="A12" i="2" s="1"/>
  <c r="AR8" i="3"/>
  <c r="AS8" i="3" s="1"/>
  <c r="F48" i="1" s="1"/>
  <c r="C8" i="3"/>
  <c r="A8" i="3"/>
  <c r="AR7" i="3"/>
  <c r="AS7" i="3" s="1"/>
  <c r="F47" i="1" s="1"/>
  <c r="C7" i="3"/>
  <c r="C10" i="2" s="1"/>
  <c r="A7" i="3"/>
  <c r="AR6" i="3"/>
  <c r="AS6" i="3" s="1"/>
  <c r="F46" i="1" s="1"/>
  <c r="C6" i="3"/>
  <c r="C9" i="2" s="1"/>
  <c r="A6" i="3"/>
  <c r="A9" i="2" s="1"/>
  <c r="AR5" i="3"/>
  <c r="AS5" i="3" s="1"/>
  <c r="F45" i="1" s="1"/>
  <c r="C5" i="3"/>
  <c r="A5" i="3"/>
  <c r="A8" i="2" s="1"/>
  <c r="AR4" i="3"/>
  <c r="AS4" i="3" s="1"/>
  <c r="F44" i="1" s="1"/>
  <c r="C4" i="3"/>
  <c r="A4" i="3"/>
  <c r="AR3" i="3"/>
  <c r="C3" i="3"/>
  <c r="C6" i="2" s="1"/>
  <c r="A3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P123" i="2"/>
  <c r="AO123" i="2"/>
  <c r="AO122" i="2" s="1"/>
  <c r="AN123" i="2"/>
  <c r="AN122" i="2" s="1"/>
  <c r="AM123" i="2"/>
  <c r="AL123" i="2"/>
  <c r="AK123" i="2"/>
  <c r="AK122" i="2" s="1"/>
  <c r="AJ123" i="2"/>
  <c r="AI123" i="2"/>
  <c r="AH123" i="2"/>
  <c r="AG123" i="2"/>
  <c r="AG122" i="2" s="1"/>
  <c r="AF123" i="2"/>
  <c r="AE123" i="2"/>
  <c r="AD123" i="2"/>
  <c r="AC123" i="2"/>
  <c r="AC122" i="2" s="1"/>
  <c r="AB123" i="2"/>
  <c r="AB122" i="2" s="1"/>
  <c r="AA123" i="2"/>
  <c r="Z123" i="2"/>
  <c r="Y123" i="2"/>
  <c r="Y122" i="2" s="1"/>
  <c r="X123" i="2"/>
  <c r="W123" i="2"/>
  <c r="V123" i="2"/>
  <c r="U123" i="2"/>
  <c r="U122" i="2" s="1"/>
  <c r="T123" i="2"/>
  <c r="S123" i="2"/>
  <c r="R123" i="2"/>
  <c r="Q123" i="2"/>
  <c r="Q122" i="2" s="1"/>
  <c r="P123" i="2"/>
  <c r="P122" i="2" s="1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B121" i="2"/>
  <c r="A121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B120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B117" i="2"/>
  <c r="A117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B116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B113" i="2"/>
  <c r="A113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B112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B109" i="2"/>
  <c r="A109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B108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B105" i="2"/>
  <c r="A105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B104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B100" i="2"/>
  <c r="A100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Q96" i="2" s="1"/>
  <c r="P98" i="2"/>
  <c r="O98" i="2"/>
  <c r="N98" i="2"/>
  <c r="M98" i="2"/>
  <c r="K98" i="2"/>
  <c r="J98" i="2"/>
  <c r="I98" i="2"/>
  <c r="H98" i="2"/>
  <c r="G98" i="2"/>
  <c r="F98" i="2"/>
  <c r="E98" i="2"/>
  <c r="D98" i="2"/>
  <c r="B98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K97" i="2"/>
  <c r="J97" i="2"/>
  <c r="I97" i="2"/>
  <c r="H97" i="2"/>
  <c r="G97" i="2"/>
  <c r="F97" i="2"/>
  <c r="E97" i="2"/>
  <c r="D97" i="2"/>
  <c r="C97" i="2"/>
  <c r="B97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B94" i="2"/>
  <c r="A94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B92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B89" i="2"/>
  <c r="A89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B88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B85" i="2"/>
  <c r="A85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B84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B81" i="2"/>
  <c r="A81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B80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B77" i="2"/>
  <c r="A77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B76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B73" i="2"/>
  <c r="A73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B72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B68" i="2"/>
  <c r="A68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B67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B64" i="2"/>
  <c r="A64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B63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B60" i="2"/>
  <c r="A60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B59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B56" i="2"/>
  <c r="A56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B55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B52" i="2"/>
  <c r="A52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B51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B47" i="2"/>
  <c r="A47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B46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B43" i="2"/>
  <c r="A43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B42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B39" i="2"/>
  <c r="A39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B38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B35" i="2"/>
  <c r="A35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B34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B31" i="2"/>
  <c r="A31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B30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B26" i="2"/>
  <c r="A26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B25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B22" i="2"/>
  <c r="A22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B21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B18" i="2"/>
  <c r="A18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B17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B14" i="2"/>
  <c r="A14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B13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B10" i="2"/>
  <c r="A10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B9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B6" i="2"/>
  <c r="A6" i="2"/>
  <c r="F153" i="1"/>
  <c r="E153" i="1"/>
  <c r="D153" i="1"/>
  <c r="C153" i="1"/>
  <c r="B153" i="1"/>
  <c r="A153" i="1"/>
  <c r="E152" i="1"/>
  <c r="D152" i="1"/>
  <c r="C152" i="1"/>
  <c r="B152" i="1"/>
  <c r="A152" i="1"/>
  <c r="E151" i="1"/>
  <c r="D151" i="1"/>
  <c r="C151" i="1"/>
  <c r="B151" i="1"/>
  <c r="A151" i="1"/>
  <c r="E150" i="1"/>
  <c r="D150" i="1"/>
  <c r="C150" i="1"/>
  <c r="B150" i="1"/>
  <c r="A150" i="1"/>
  <c r="E149" i="1"/>
  <c r="D149" i="1"/>
  <c r="C149" i="1"/>
  <c r="B149" i="1"/>
  <c r="A149" i="1"/>
  <c r="E148" i="1"/>
  <c r="D148" i="1"/>
  <c r="C148" i="1"/>
  <c r="B148" i="1"/>
  <c r="A148" i="1"/>
  <c r="E147" i="1"/>
  <c r="D147" i="1"/>
  <c r="C147" i="1"/>
  <c r="B147" i="1"/>
  <c r="A147" i="1"/>
  <c r="E146" i="1"/>
  <c r="D146" i="1"/>
  <c r="C146" i="1"/>
  <c r="B146" i="1"/>
  <c r="A146" i="1"/>
  <c r="F145" i="1"/>
  <c r="E145" i="1"/>
  <c r="D145" i="1"/>
  <c r="C145" i="1"/>
  <c r="B145" i="1"/>
  <c r="A145" i="1"/>
  <c r="E144" i="1"/>
  <c r="D144" i="1"/>
  <c r="C144" i="1"/>
  <c r="B144" i="1"/>
  <c r="A144" i="1"/>
  <c r="E143" i="1"/>
  <c r="D143" i="1"/>
  <c r="C143" i="1"/>
  <c r="B143" i="1"/>
  <c r="A143" i="1"/>
  <c r="E142" i="1"/>
  <c r="D142" i="1"/>
  <c r="C142" i="1"/>
  <c r="B142" i="1"/>
  <c r="A142" i="1"/>
  <c r="F141" i="1"/>
  <c r="E141" i="1"/>
  <c r="D141" i="1"/>
  <c r="C141" i="1"/>
  <c r="B141" i="1"/>
  <c r="A141" i="1"/>
  <c r="E140" i="1"/>
  <c r="D140" i="1"/>
  <c r="C140" i="1"/>
  <c r="B140" i="1"/>
  <c r="A140" i="1"/>
  <c r="E139" i="1"/>
  <c r="D139" i="1"/>
  <c r="C139" i="1"/>
  <c r="B139" i="1"/>
  <c r="A139" i="1"/>
  <c r="E138" i="1"/>
  <c r="D138" i="1"/>
  <c r="C138" i="1"/>
  <c r="B138" i="1"/>
  <c r="A138" i="1"/>
  <c r="F137" i="1"/>
  <c r="E137" i="1"/>
  <c r="D137" i="1"/>
  <c r="C137" i="1"/>
  <c r="B137" i="1"/>
  <c r="A137" i="1"/>
  <c r="E136" i="1"/>
  <c r="D136" i="1"/>
  <c r="C136" i="1"/>
  <c r="B136" i="1"/>
  <c r="A136" i="1"/>
  <c r="E135" i="1"/>
  <c r="D135" i="1"/>
  <c r="C135" i="1"/>
  <c r="B135" i="1"/>
  <c r="A135" i="1"/>
  <c r="E134" i="1"/>
  <c r="D134" i="1"/>
  <c r="C134" i="1"/>
  <c r="B134" i="1"/>
  <c r="A134" i="1"/>
  <c r="F133" i="1"/>
  <c r="E133" i="1"/>
  <c r="D133" i="1"/>
  <c r="C133" i="1"/>
  <c r="B133" i="1"/>
  <c r="A133" i="1"/>
  <c r="E132" i="1"/>
  <c r="D132" i="1"/>
  <c r="C132" i="1"/>
  <c r="B132" i="1"/>
  <c r="A132" i="1"/>
  <c r="E131" i="1"/>
  <c r="D131" i="1"/>
  <c r="C131" i="1"/>
  <c r="B131" i="1"/>
  <c r="A131" i="1"/>
  <c r="E130" i="1"/>
  <c r="D130" i="1"/>
  <c r="C130" i="1"/>
  <c r="B130" i="1"/>
  <c r="A130" i="1"/>
  <c r="E129" i="1"/>
  <c r="D129" i="1"/>
  <c r="C129" i="1"/>
  <c r="B129" i="1"/>
  <c r="A129" i="1"/>
  <c r="E128" i="1"/>
  <c r="D128" i="1"/>
  <c r="C128" i="1"/>
  <c r="B128" i="1"/>
  <c r="A128" i="1"/>
  <c r="F127" i="1"/>
  <c r="E127" i="1"/>
  <c r="D127" i="1"/>
  <c r="C127" i="1"/>
  <c r="B127" i="1"/>
  <c r="A127" i="1"/>
  <c r="E126" i="1"/>
  <c r="D126" i="1"/>
  <c r="C126" i="1"/>
  <c r="B126" i="1"/>
  <c r="A126" i="1"/>
  <c r="F125" i="1"/>
  <c r="E125" i="1"/>
  <c r="D125" i="1"/>
  <c r="C125" i="1"/>
  <c r="B125" i="1"/>
  <c r="A125" i="1"/>
  <c r="E124" i="1"/>
  <c r="D124" i="1"/>
  <c r="C124" i="1"/>
  <c r="B124" i="1"/>
  <c r="A124" i="1"/>
  <c r="E123" i="1"/>
  <c r="D123" i="1"/>
  <c r="C123" i="1"/>
  <c r="B123" i="1"/>
  <c r="A123" i="1"/>
  <c r="E122" i="1"/>
  <c r="D122" i="1"/>
  <c r="C122" i="1"/>
  <c r="B122" i="1"/>
  <c r="A122" i="1"/>
  <c r="E121" i="1"/>
  <c r="D121" i="1"/>
  <c r="C121" i="1"/>
  <c r="B121" i="1"/>
  <c r="A121" i="1"/>
  <c r="E120" i="1"/>
  <c r="D120" i="1"/>
  <c r="C120" i="1"/>
  <c r="B120" i="1"/>
  <c r="A120" i="1"/>
  <c r="E119" i="1"/>
  <c r="D119" i="1"/>
  <c r="C119" i="1"/>
  <c r="B119" i="1"/>
  <c r="A119" i="1"/>
  <c r="E118" i="1"/>
  <c r="D118" i="1"/>
  <c r="C118" i="1"/>
  <c r="B118" i="1"/>
  <c r="A118" i="1"/>
  <c r="E117" i="1"/>
  <c r="D117" i="1"/>
  <c r="C117" i="1"/>
  <c r="B117" i="1"/>
  <c r="A117" i="1"/>
  <c r="E116" i="1"/>
  <c r="D116" i="1"/>
  <c r="C116" i="1"/>
  <c r="B116" i="1"/>
  <c r="A116" i="1"/>
  <c r="E115" i="1"/>
  <c r="D115" i="1"/>
  <c r="C115" i="1"/>
  <c r="B115" i="1"/>
  <c r="A115" i="1"/>
  <c r="E114" i="1"/>
  <c r="D114" i="1"/>
  <c r="C114" i="1"/>
  <c r="B114" i="1"/>
  <c r="A114" i="1"/>
  <c r="E113" i="1"/>
  <c r="D113" i="1"/>
  <c r="C113" i="1"/>
  <c r="B113" i="1"/>
  <c r="A113" i="1"/>
  <c r="E112" i="1"/>
  <c r="D112" i="1"/>
  <c r="C112" i="1"/>
  <c r="B112" i="1"/>
  <c r="A112" i="1"/>
  <c r="E111" i="1"/>
  <c r="D111" i="1"/>
  <c r="C111" i="1"/>
  <c r="B111" i="1"/>
  <c r="A111" i="1"/>
  <c r="E110" i="1"/>
  <c r="D110" i="1"/>
  <c r="C110" i="1"/>
  <c r="B110" i="1"/>
  <c r="A110" i="1"/>
  <c r="F109" i="1"/>
  <c r="E109" i="1"/>
  <c r="D109" i="1"/>
  <c r="C109" i="1"/>
  <c r="B109" i="1"/>
  <c r="A109" i="1"/>
  <c r="E108" i="1"/>
  <c r="D108" i="1"/>
  <c r="C108" i="1"/>
  <c r="B108" i="1"/>
  <c r="A108" i="1"/>
  <c r="E107" i="1"/>
  <c r="D107" i="1"/>
  <c r="C107" i="1"/>
  <c r="B107" i="1"/>
  <c r="A107" i="1"/>
  <c r="E106" i="1"/>
  <c r="D106" i="1"/>
  <c r="C106" i="1"/>
  <c r="B106" i="1"/>
  <c r="A106" i="1"/>
  <c r="E105" i="1"/>
  <c r="D105" i="1"/>
  <c r="C105" i="1"/>
  <c r="B105" i="1"/>
  <c r="A105" i="1"/>
  <c r="E104" i="1"/>
  <c r="D104" i="1"/>
  <c r="C104" i="1"/>
  <c r="B104" i="1"/>
  <c r="A104" i="1"/>
  <c r="E103" i="1"/>
  <c r="D103" i="1"/>
  <c r="C103" i="1"/>
  <c r="B103" i="1"/>
  <c r="A103" i="1"/>
  <c r="E102" i="1"/>
  <c r="D102" i="1"/>
  <c r="C102" i="1"/>
  <c r="B102" i="1"/>
  <c r="A102" i="1"/>
  <c r="E101" i="1"/>
  <c r="D101" i="1"/>
  <c r="C101" i="1"/>
  <c r="B101" i="1"/>
  <c r="A101" i="1"/>
  <c r="E100" i="1"/>
  <c r="D100" i="1"/>
  <c r="C100" i="1"/>
  <c r="B100" i="1"/>
  <c r="A100" i="1"/>
  <c r="E99" i="1"/>
  <c r="D99" i="1"/>
  <c r="C99" i="1"/>
  <c r="B99" i="1"/>
  <c r="A99" i="1"/>
  <c r="E98" i="1"/>
  <c r="D98" i="1"/>
  <c r="C98" i="1"/>
  <c r="B98" i="1"/>
  <c r="A98" i="1"/>
  <c r="E97" i="1"/>
  <c r="D97" i="1"/>
  <c r="C97" i="1"/>
  <c r="B97" i="1"/>
  <c r="A97" i="1"/>
  <c r="E96" i="1"/>
  <c r="D96" i="1"/>
  <c r="C96" i="1"/>
  <c r="B96" i="1"/>
  <c r="A96" i="1"/>
  <c r="E95" i="1"/>
  <c r="D95" i="1"/>
  <c r="C95" i="1"/>
  <c r="B95" i="1"/>
  <c r="A95" i="1"/>
  <c r="E94" i="1"/>
  <c r="D94" i="1"/>
  <c r="C94" i="1"/>
  <c r="B94" i="1"/>
  <c r="A94" i="1"/>
  <c r="F93" i="1"/>
  <c r="E93" i="1"/>
  <c r="D93" i="1"/>
  <c r="C93" i="1"/>
  <c r="B93" i="1"/>
  <c r="A93" i="1"/>
  <c r="E92" i="1"/>
  <c r="D92" i="1"/>
  <c r="C92" i="1"/>
  <c r="B92" i="1"/>
  <c r="A92" i="1"/>
  <c r="E91" i="1"/>
  <c r="D91" i="1"/>
  <c r="C91" i="1"/>
  <c r="B91" i="1"/>
  <c r="A91" i="1"/>
  <c r="E90" i="1"/>
  <c r="D90" i="1"/>
  <c r="C90" i="1"/>
  <c r="B90" i="1"/>
  <c r="A90" i="1"/>
  <c r="E89" i="1"/>
  <c r="D89" i="1"/>
  <c r="C89" i="1"/>
  <c r="B89" i="1"/>
  <c r="A89" i="1"/>
  <c r="E88" i="1"/>
  <c r="D88" i="1"/>
  <c r="C88" i="1"/>
  <c r="B88" i="1"/>
  <c r="A88" i="1"/>
  <c r="E87" i="1"/>
  <c r="D87" i="1"/>
  <c r="C87" i="1"/>
  <c r="B87" i="1"/>
  <c r="A87" i="1"/>
  <c r="E86" i="1"/>
  <c r="D86" i="1"/>
  <c r="C86" i="1"/>
  <c r="B86" i="1"/>
  <c r="A86" i="1"/>
  <c r="F85" i="1"/>
  <c r="E85" i="1"/>
  <c r="D85" i="1"/>
  <c r="C85" i="1"/>
  <c r="B85" i="1"/>
  <c r="A85" i="1"/>
  <c r="E84" i="1"/>
  <c r="D84" i="1"/>
  <c r="C84" i="1"/>
  <c r="B84" i="1"/>
  <c r="A84" i="1"/>
  <c r="E83" i="1"/>
  <c r="D83" i="1"/>
  <c r="C83" i="1"/>
  <c r="B83" i="1"/>
  <c r="A83" i="1"/>
  <c r="E82" i="1"/>
  <c r="D82" i="1"/>
  <c r="C82" i="1"/>
  <c r="B82" i="1"/>
  <c r="A82" i="1"/>
  <c r="E81" i="1"/>
  <c r="D81" i="1"/>
  <c r="C81" i="1"/>
  <c r="B81" i="1"/>
  <c r="A81" i="1"/>
  <c r="E80" i="1"/>
  <c r="D80" i="1"/>
  <c r="C80" i="1"/>
  <c r="B80" i="1"/>
  <c r="A80" i="1"/>
  <c r="E79" i="1"/>
  <c r="D79" i="1"/>
  <c r="C79" i="1"/>
  <c r="B79" i="1"/>
  <c r="A79" i="1"/>
  <c r="E78" i="1"/>
  <c r="D78" i="1"/>
  <c r="C78" i="1"/>
  <c r="B78" i="1"/>
  <c r="A78" i="1"/>
  <c r="F77" i="1"/>
  <c r="E77" i="1"/>
  <c r="D77" i="1"/>
  <c r="C77" i="1"/>
  <c r="B77" i="1"/>
  <c r="A77" i="1"/>
  <c r="E76" i="1"/>
  <c r="D76" i="1"/>
  <c r="C76" i="1"/>
  <c r="B76" i="1"/>
  <c r="A76" i="1"/>
  <c r="E75" i="1"/>
  <c r="D75" i="1"/>
  <c r="C75" i="1"/>
  <c r="B75" i="1"/>
  <c r="A75" i="1"/>
  <c r="E74" i="1"/>
  <c r="D74" i="1"/>
  <c r="C74" i="1"/>
  <c r="B74" i="1"/>
  <c r="A74" i="1"/>
  <c r="E73" i="1"/>
  <c r="D73" i="1"/>
  <c r="C73" i="1"/>
  <c r="B73" i="1"/>
  <c r="A73" i="1"/>
  <c r="E72" i="1"/>
  <c r="D72" i="1"/>
  <c r="C72" i="1"/>
  <c r="B72" i="1"/>
  <c r="A72" i="1"/>
  <c r="E71" i="1"/>
  <c r="D71" i="1"/>
  <c r="C71" i="1"/>
  <c r="B71" i="1"/>
  <c r="A71" i="1"/>
  <c r="E70" i="1"/>
  <c r="D70" i="1"/>
  <c r="C70" i="1"/>
  <c r="B70" i="1"/>
  <c r="A70" i="1"/>
  <c r="E69" i="1"/>
  <c r="D69" i="1"/>
  <c r="C69" i="1"/>
  <c r="B69" i="1"/>
  <c r="A69" i="1"/>
  <c r="E68" i="1"/>
  <c r="D68" i="1"/>
  <c r="C68" i="1"/>
  <c r="B68" i="1"/>
  <c r="A68" i="1"/>
  <c r="E67" i="1"/>
  <c r="D67" i="1"/>
  <c r="C67" i="1"/>
  <c r="B67" i="1"/>
  <c r="A67" i="1"/>
  <c r="E66" i="1"/>
  <c r="D66" i="1"/>
  <c r="C66" i="1"/>
  <c r="B66" i="1"/>
  <c r="A66" i="1"/>
  <c r="E65" i="1"/>
  <c r="D65" i="1"/>
  <c r="C65" i="1"/>
  <c r="B65" i="1"/>
  <c r="A65" i="1"/>
  <c r="E64" i="1"/>
  <c r="D64" i="1"/>
  <c r="C64" i="1"/>
  <c r="B64" i="1"/>
  <c r="A64" i="1"/>
  <c r="E63" i="1"/>
  <c r="D63" i="1"/>
  <c r="C63" i="1"/>
  <c r="B63" i="1"/>
  <c r="A63" i="1"/>
  <c r="E62" i="1"/>
  <c r="D62" i="1"/>
  <c r="C62" i="1"/>
  <c r="B62" i="1"/>
  <c r="A62" i="1"/>
  <c r="E61" i="1"/>
  <c r="D61" i="1"/>
  <c r="C61" i="1"/>
  <c r="B61" i="1"/>
  <c r="A61" i="1"/>
  <c r="E60" i="1"/>
  <c r="D60" i="1"/>
  <c r="C60" i="1"/>
  <c r="B60" i="1"/>
  <c r="A60" i="1"/>
  <c r="E59" i="1"/>
  <c r="D59" i="1"/>
  <c r="C59" i="1"/>
  <c r="B59" i="1"/>
  <c r="A59" i="1"/>
  <c r="E58" i="1"/>
  <c r="D58" i="1"/>
  <c r="C58" i="1"/>
  <c r="B58" i="1"/>
  <c r="A58" i="1"/>
  <c r="E57" i="1"/>
  <c r="D57" i="1"/>
  <c r="C57" i="1"/>
  <c r="B57" i="1"/>
  <c r="A57" i="1"/>
  <c r="E56" i="1"/>
  <c r="D56" i="1"/>
  <c r="C56" i="1"/>
  <c r="B56" i="1"/>
  <c r="A56" i="1"/>
  <c r="E55" i="1"/>
  <c r="D55" i="1"/>
  <c r="C55" i="1"/>
  <c r="B55" i="1"/>
  <c r="A55" i="1"/>
  <c r="E54" i="1"/>
  <c r="D54" i="1"/>
  <c r="C54" i="1"/>
  <c r="B54" i="1"/>
  <c r="A54" i="1"/>
  <c r="F53" i="1"/>
  <c r="E53" i="1"/>
  <c r="D53" i="1"/>
  <c r="C53" i="1"/>
  <c r="B53" i="1"/>
  <c r="A53" i="1"/>
  <c r="E52" i="1"/>
  <c r="D52" i="1"/>
  <c r="C52" i="1"/>
  <c r="B52" i="1"/>
  <c r="A52" i="1"/>
  <c r="E51" i="1"/>
  <c r="D51" i="1"/>
  <c r="C51" i="1"/>
  <c r="B51" i="1"/>
  <c r="A51" i="1"/>
  <c r="F50" i="1"/>
  <c r="E50" i="1"/>
  <c r="D50" i="1"/>
  <c r="C50" i="1"/>
  <c r="B50" i="1"/>
  <c r="A50" i="1"/>
  <c r="E49" i="1"/>
  <c r="D49" i="1"/>
  <c r="C49" i="1"/>
  <c r="B49" i="1"/>
  <c r="A49" i="1"/>
  <c r="E48" i="1"/>
  <c r="D48" i="1"/>
  <c r="C48" i="1"/>
  <c r="B48" i="1"/>
  <c r="A48" i="1"/>
  <c r="E47" i="1"/>
  <c r="D47" i="1"/>
  <c r="C47" i="1"/>
  <c r="B47" i="1"/>
  <c r="A47" i="1"/>
  <c r="E46" i="1"/>
  <c r="D46" i="1"/>
  <c r="C46" i="1"/>
  <c r="B46" i="1"/>
  <c r="A46" i="1"/>
  <c r="E45" i="1"/>
  <c r="D45" i="1"/>
  <c r="C45" i="1"/>
  <c r="B45" i="1"/>
  <c r="A45" i="1"/>
  <c r="E44" i="1"/>
  <c r="D44" i="1"/>
  <c r="C44" i="1"/>
  <c r="B44" i="1"/>
  <c r="A44" i="1"/>
  <c r="E43" i="1"/>
  <c r="D43" i="1"/>
  <c r="C43" i="1"/>
  <c r="B43" i="1"/>
  <c r="A43" i="1"/>
  <c r="B18" i="1"/>
  <c r="B17" i="1"/>
  <c r="F69" i="1" l="1"/>
  <c r="Y96" i="2"/>
  <c r="U93" i="2"/>
  <c r="AG96" i="2"/>
  <c r="F115" i="1"/>
  <c r="V96" i="2"/>
  <c r="F99" i="1"/>
  <c r="F123" i="1"/>
  <c r="N96" i="2"/>
  <c r="AL96" i="2"/>
  <c r="AP96" i="2"/>
  <c r="F78" i="1"/>
  <c r="F95" i="1"/>
  <c r="F101" i="1"/>
  <c r="AO96" i="2"/>
  <c r="AR1" i="3"/>
  <c r="AM122" i="2"/>
  <c r="AF49" i="2"/>
  <c r="M93" i="2"/>
  <c r="AC93" i="2"/>
  <c r="AD96" i="2"/>
  <c r="Z5" i="2"/>
  <c r="O122" i="2"/>
  <c r="S122" i="2"/>
  <c r="W122" i="2"/>
  <c r="AA122" i="2"/>
  <c r="AE122" i="2"/>
  <c r="N71" i="2"/>
  <c r="R93" i="2"/>
  <c r="V93" i="2"/>
  <c r="Z93" i="2"/>
  <c r="AD93" i="2"/>
  <c r="AH93" i="2"/>
  <c r="AL93" i="2"/>
  <c r="AP93" i="2"/>
  <c r="L93" i="2"/>
  <c r="P93" i="2"/>
  <c r="T93" i="2"/>
  <c r="X93" i="2"/>
  <c r="AB93" i="2"/>
  <c r="AF93" i="2"/>
  <c r="AJ93" i="2"/>
  <c r="AN93" i="2"/>
  <c r="O99" i="2"/>
  <c r="AM99" i="2"/>
  <c r="Z122" i="2"/>
  <c r="S5" i="2"/>
  <c r="W5" i="2"/>
  <c r="X27" i="2"/>
  <c r="AA49" i="2"/>
  <c r="AN102" i="2"/>
  <c r="D7" i="1"/>
  <c r="M5" i="2"/>
  <c r="AK5" i="2"/>
  <c r="O93" i="2"/>
  <c r="S93" i="2"/>
  <c r="W93" i="2"/>
  <c r="AA93" i="2"/>
  <c r="AE93" i="2"/>
  <c r="AI93" i="2"/>
  <c r="AM93" i="2"/>
  <c r="Q93" i="2"/>
  <c r="Y93" i="2"/>
  <c r="AG93" i="2"/>
  <c r="AK93" i="2"/>
  <c r="P99" i="2"/>
  <c r="T99" i="2"/>
  <c r="X99" i="2"/>
  <c r="AB99" i="2"/>
  <c r="AF99" i="2"/>
  <c r="AJ99" i="2"/>
  <c r="AN99" i="2"/>
  <c r="N99" i="2"/>
  <c r="V99" i="2"/>
  <c r="AD99" i="2"/>
  <c r="AL99" i="2"/>
  <c r="AP99" i="2"/>
  <c r="AQ50" i="2"/>
  <c r="AR50" i="2" s="1"/>
  <c r="AQ73" i="2"/>
  <c r="AR73" i="2" s="1"/>
  <c r="AT73" i="2" s="1"/>
  <c r="AE99" i="2"/>
  <c r="F102" i="1"/>
  <c r="F94" i="1"/>
  <c r="AQ115" i="2"/>
  <c r="AR115" i="2" s="1"/>
  <c r="AT115" i="2" s="1"/>
  <c r="F74" i="1"/>
  <c r="F86" i="1"/>
  <c r="F98" i="1"/>
  <c r="F82" i="1"/>
  <c r="AI102" i="2"/>
  <c r="AQ113" i="2"/>
  <c r="AR113" i="2" s="1"/>
  <c r="AT113" i="2" s="1"/>
  <c r="AI122" i="2"/>
  <c r="F70" i="1"/>
  <c r="F90" i="1"/>
  <c r="F106" i="1"/>
  <c r="AQ94" i="2"/>
  <c r="AR94" i="2" s="1"/>
  <c r="D11" i="1"/>
  <c r="AO27" i="2"/>
  <c r="AQ40" i="2"/>
  <c r="AR40" i="2" s="1"/>
  <c r="AQ52" i="2"/>
  <c r="AR52" i="2" s="1"/>
  <c r="AT52" i="2" s="1"/>
  <c r="S49" i="2"/>
  <c r="AI49" i="2"/>
  <c r="AQ54" i="2"/>
  <c r="AR54" i="2" s="1"/>
  <c r="AS54" i="2" s="1"/>
  <c r="AQ58" i="2"/>
  <c r="AR58" i="2" s="1"/>
  <c r="AS58" i="2" s="1"/>
  <c r="AD71" i="2"/>
  <c r="P96" i="2"/>
  <c r="T96" i="2"/>
  <c r="X96" i="2"/>
  <c r="AB96" i="2"/>
  <c r="AF96" i="2"/>
  <c r="AJ96" i="2"/>
  <c r="AN96" i="2"/>
  <c r="L102" i="2"/>
  <c r="P102" i="2"/>
  <c r="T102" i="2"/>
  <c r="X102" i="2"/>
  <c r="L122" i="2"/>
  <c r="T122" i="2"/>
  <c r="X122" i="2"/>
  <c r="AF122" i="2"/>
  <c r="AJ122" i="2"/>
  <c r="N5" i="2"/>
  <c r="R5" i="2"/>
  <c r="V5" i="2"/>
  <c r="AD5" i="2"/>
  <c r="AH5" i="2"/>
  <c r="AL5" i="2"/>
  <c r="AP5" i="2"/>
  <c r="AQ38" i="2"/>
  <c r="AR38" i="2" s="1"/>
  <c r="AS38" i="2" s="1"/>
  <c r="AQ44" i="2"/>
  <c r="AR44" i="2" s="1"/>
  <c r="AT44" i="2" s="1"/>
  <c r="AQ48" i="2"/>
  <c r="AR48" i="2" s="1"/>
  <c r="AQ56" i="2"/>
  <c r="AR56" i="2" s="1"/>
  <c r="AS56" i="2" s="1"/>
  <c r="AQ64" i="2"/>
  <c r="AR64" i="2" s="1"/>
  <c r="AS64" i="2" s="1"/>
  <c r="AQ66" i="2"/>
  <c r="AR66" i="2" s="1"/>
  <c r="AT66" i="2" s="1"/>
  <c r="P49" i="2"/>
  <c r="L71" i="2"/>
  <c r="P71" i="2"/>
  <c r="T71" i="2"/>
  <c r="X71" i="2"/>
  <c r="AB71" i="2"/>
  <c r="AF71" i="2"/>
  <c r="AJ71" i="2"/>
  <c r="AN71" i="2"/>
  <c r="C9" i="1"/>
  <c r="AO71" i="2"/>
  <c r="M96" i="2"/>
  <c r="U96" i="2"/>
  <c r="AC96" i="2"/>
  <c r="AK96" i="2"/>
  <c r="R96" i="2"/>
  <c r="Z96" i="2"/>
  <c r="R99" i="2"/>
  <c r="Z99" i="2"/>
  <c r="AF102" i="2"/>
  <c r="N122" i="2"/>
  <c r="R122" i="2"/>
  <c r="V122" i="2"/>
  <c r="AD122" i="2"/>
  <c r="AL122" i="2"/>
  <c r="AP122" i="2"/>
  <c r="S102" i="2"/>
  <c r="AA5" i="2"/>
  <c r="AE5" i="2"/>
  <c r="AI5" i="2"/>
  <c r="AM5" i="2"/>
  <c r="U5" i="2"/>
  <c r="AC5" i="2"/>
  <c r="AO5" i="2"/>
  <c r="AQ42" i="2"/>
  <c r="AR42" i="2" s="1"/>
  <c r="AT42" i="2" s="1"/>
  <c r="AQ46" i="2"/>
  <c r="AR46" i="2" s="1"/>
  <c r="V71" i="2"/>
  <c r="S99" i="2"/>
  <c r="W99" i="2"/>
  <c r="AA99" i="2"/>
  <c r="AI99" i="2"/>
  <c r="C4" i="1"/>
  <c r="C11" i="1"/>
  <c r="D4" i="1"/>
  <c r="D9" i="1"/>
  <c r="L27" i="2"/>
  <c r="P27" i="2"/>
  <c r="T27" i="2"/>
  <c r="AB27" i="2"/>
  <c r="AF27" i="2"/>
  <c r="AJ27" i="2"/>
  <c r="AN27" i="2"/>
  <c r="D6" i="1"/>
  <c r="Q27" i="2"/>
  <c r="AQ7" i="2"/>
  <c r="AR7" i="2" s="1"/>
  <c r="AT7" i="2" s="1"/>
  <c r="AQ9" i="2"/>
  <c r="AR9" i="2" s="1"/>
  <c r="AS9" i="2" s="1"/>
  <c r="AQ11" i="2"/>
  <c r="AR11" i="2" s="1"/>
  <c r="AT11" i="2" s="1"/>
  <c r="AQ13" i="2"/>
  <c r="AR13" i="2" s="1"/>
  <c r="AS13" i="2" s="1"/>
  <c r="AQ15" i="2"/>
  <c r="AR15" i="2" s="1"/>
  <c r="AT15" i="2" s="1"/>
  <c r="AQ17" i="2"/>
  <c r="AR17" i="2" s="1"/>
  <c r="AS17" i="2" s="1"/>
  <c r="AQ19" i="2"/>
  <c r="AR19" i="2" s="1"/>
  <c r="AT19" i="2" s="1"/>
  <c r="AQ21" i="2"/>
  <c r="AR21" i="2" s="1"/>
  <c r="AT21" i="2" s="1"/>
  <c r="AQ23" i="2"/>
  <c r="AR23" i="2" s="1"/>
  <c r="AT23" i="2" s="1"/>
  <c r="AQ25" i="2"/>
  <c r="AR25" i="2" s="1"/>
  <c r="AS25" i="2" s="1"/>
  <c r="M27" i="2"/>
  <c r="U27" i="2"/>
  <c r="Y27" i="2"/>
  <c r="AC27" i="2"/>
  <c r="AK27" i="2"/>
  <c r="AQ34" i="2"/>
  <c r="AR34" i="2" s="1"/>
  <c r="AT34" i="2" s="1"/>
  <c r="AQ36" i="2"/>
  <c r="AR36" i="2" s="1"/>
  <c r="AT36" i="2" s="1"/>
  <c r="AU47" i="3"/>
  <c r="H87" i="1" s="1"/>
  <c r="F87" i="1"/>
  <c r="AU51" i="3"/>
  <c r="H91" i="1" s="1"/>
  <c r="F91" i="1"/>
  <c r="AU79" i="3"/>
  <c r="H119" i="1" s="1"/>
  <c r="F119" i="1"/>
  <c r="D5" i="1"/>
  <c r="C10" i="1"/>
  <c r="F71" i="1"/>
  <c r="F75" i="1"/>
  <c r="F83" i="1"/>
  <c r="F103" i="1"/>
  <c r="F107" i="1"/>
  <c r="F111" i="1"/>
  <c r="AQ28" i="2"/>
  <c r="AR28" i="2" s="1"/>
  <c r="R27" i="2"/>
  <c r="V27" i="2"/>
  <c r="Z27" i="2"/>
  <c r="AD27" i="2"/>
  <c r="AH27" i="2"/>
  <c r="AL27" i="2"/>
  <c r="AP27" i="2"/>
  <c r="AQ68" i="2"/>
  <c r="AR68" i="2" s="1"/>
  <c r="AS68" i="2" s="1"/>
  <c r="AQ70" i="2"/>
  <c r="AR70" i="2" s="1"/>
  <c r="AT70" i="2" s="1"/>
  <c r="R71" i="2"/>
  <c r="Z71" i="2"/>
  <c r="Q71" i="2"/>
  <c r="U71" i="2"/>
  <c r="Y71" i="2"/>
  <c r="AC71" i="2"/>
  <c r="AK71" i="2"/>
  <c r="AQ95" i="2"/>
  <c r="AR95" i="2" s="1"/>
  <c r="AS95" i="2" s="1"/>
  <c r="AQ105" i="2"/>
  <c r="AR105" i="2" s="1"/>
  <c r="AT105" i="2" s="1"/>
  <c r="AQ107" i="2"/>
  <c r="AR107" i="2" s="1"/>
  <c r="AT107" i="2" s="1"/>
  <c r="AQ121" i="2"/>
  <c r="AR121" i="2" s="1"/>
  <c r="AS121" i="2" s="1"/>
  <c r="D3" i="1"/>
  <c r="C6" i="1"/>
  <c r="F79" i="1"/>
  <c r="D10" i="1"/>
  <c r="C7" i="1"/>
  <c r="C5" i="1"/>
  <c r="C3" i="1"/>
  <c r="Q5" i="2"/>
  <c r="Y5" i="2"/>
  <c r="AG5" i="2"/>
  <c r="AQ32" i="2"/>
  <c r="AR32" i="2" s="1"/>
  <c r="AT32" i="2" s="1"/>
  <c r="Q49" i="2"/>
  <c r="U49" i="2"/>
  <c r="Y49" i="2"/>
  <c r="AC49" i="2"/>
  <c r="AK49" i="2"/>
  <c r="AO49" i="2"/>
  <c r="X49" i="2"/>
  <c r="AN49" i="2"/>
  <c r="AQ60" i="2"/>
  <c r="AR60" i="2" s="1"/>
  <c r="AT60" i="2" s="1"/>
  <c r="AQ62" i="2"/>
  <c r="AR62" i="2" s="1"/>
  <c r="AS62" i="2" s="1"/>
  <c r="O71" i="2"/>
  <c r="S71" i="2"/>
  <c r="W71" i="2"/>
  <c r="AA71" i="2"/>
  <c r="AE71" i="2"/>
  <c r="AI71" i="2"/>
  <c r="AM71" i="2"/>
  <c r="AL71" i="2"/>
  <c r="AP71" i="2"/>
  <c r="AA102" i="2"/>
  <c r="AB102" i="2"/>
  <c r="AJ102" i="2"/>
  <c r="O102" i="2"/>
  <c r="W102" i="2"/>
  <c r="AE102" i="2"/>
  <c r="AM102" i="2"/>
  <c r="P5" i="2"/>
  <c r="T5" i="2"/>
  <c r="X5" i="2"/>
  <c r="AB5" i="2"/>
  <c r="AF5" i="2"/>
  <c r="AJ5" i="2"/>
  <c r="L49" i="2"/>
  <c r="T49" i="2"/>
  <c r="AB49" i="2"/>
  <c r="AJ49" i="2"/>
  <c r="O49" i="2"/>
  <c r="W49" i="2"/>
  <c r="AE49" i="2"/>
  <c r="AM49" i="2"/>
  <c r="AO93" i="2"/>
  <c r="AQ103" i="2"/>
  <c r="AR103" i="2" s="1"/>
  <c r="Q102" i="2"/>
  <c r="U102" i="2"/>
  <c r="Y102" i="2"/>
  <c r="AC102" i="2"/>
  <c r="AG102" i="2"/>
  <c r="AK102" i="2"/>
  <c r="AO102" i="2"/>
  <c r="AQ109" i="2"/>
  <c r="AR109" i="2" s="1"/>
  <c r="AT109" i="2" s="1"/>
  <c r="AQ111" i="2"/>
  <c r="AR111" i="2" s="1"/>
  <c r="AT111" i="2" s="1"/>
  <c r="AQ117" i="2"/>
  <c r="AR117" i="2" s="1"/>
  <c r="AT117" i="2" s="1"/>
  <c r="AQ119" i="2"/>
  <c r="AR119" i="2" s="1"/>
  <c r="AT119" i="2" s="1"/>
  <c r="AN5" i="2"/>
  <c r="O27" i="2"/>
  <c r="S27" i="2"/>
  <c r="W27" i="2"/>
  <c r="AA27" i="2"/>
  <c r="AE27" i="2"/>
  <c r="AI27" i="2"/>
  <c r="AM27" i="2"/>
  <c r="AG27" i="2"/>
  <c r="N49" i="2"/>
  <c r="R49" i="2"/>
  <c r="V49" i="2"/>
  <c r="Z49" i="2"/>
  <c r="AD49" i="2"/>
  <c r="AH49" i="2"/>
  <c r="AL49" i="2"/>
  <c r="AP49" i="2"/>
  <c r="AH96" i="2"/>
  <c r="AQ98" i="2"/>
  <c r="AR98" i="2" s="1"/>
  <c r="AT98" i="2" s="1"/>
  <c r="Q99" i="2"/>
  <c r="U99" i="2"/>
  <c r="Y99" i="2"/>
  <c r="AC99" i="2"/>
  <c r="AK99" i="2"/>
  <c r="AO99" i="2"/>
  <c r="N102" i="2"/>
  <c r="R102" i="2"/>
  <c r="V102" i="2"/>
  <c r="Z102" i="2"/>
  <c r="AD102" i="2"/>
  <c r="AL102" i="2"/>
  <c r="AP102" i="2"/>
  <c r="AH71" i="2"/>
  <c r="AQ97" i="2"/>
  <c r="AR97" i="2" s="1"/>
  <c r="AT97" i="2" s="1"/>
  <c r="S96" i="2"/>
  <c r="W96" i="2"/>
  <c r="AA96" i="2"/>
  <c r="AE96" i="2"/>
  <c r="AI96" i="2"/>
  <c r="AM96" i="2"/>
  <c r="AH99" i="2"/>
  <c r="AH122" i="2"/>
  <c r="AQ104" i="2"/>
  <c r="AR104" i="2" s="1"/>
  <c r="AS104" i="2" s="1"/>
  <c r="AQ106" i="2"/>
  <c r="AR106" i="2" s="1"/>
  <c r="AS106" i="2" s="1"/>
  <c r="AQ108" i="2"/>
  <c r="AR108" i="2" s="1"/>
  <c r="AS108" i="2" s="1"/>
  <c r="AQ110" i="2"/>
  <c r="AR110" i="2" s="1"/>
  <c r="AS110" i="2" s="1"/>
  <c r="AQ112" i="2"/>
  <c r="AR112" i="2" s="1"/>
  <c r="AS112" i="2" s="1"/>
  <c r="AQ114" i="2"/>
  <c r="AR114" i="2" s="1"/>
  <c r="AS114" i="2" s="1"/>
  <c r="AQ116" i="2"/>
  <c r="AR116" i="2" s="1"/>
  <c r="AS116" i="2" s="1"/>
  <c r="AQ118" i="2"/>
  <c r="AR118" i="2" s="1"/>
  <c r="AS118" i="2" s="1"/>
  <c r="AQ120" i="2"/>
  <c r="AR120" i="2" s="1"/>
  <c r="AS120" i="2" s="1"/>
  <c r="AQ124" i="2"/>
  <c r="AR124" i="2" s="1"/>
  <c r="AS124" i="2" s="1"/>
  <c r="AQ100" i="2"/>
  <c r="AH102" i="2"/>
  <c r="AQ30" i="2"/>
  <c r="AR30" i="2" s="1"/>
  <c r="AS30" i="2" s="1"/>
  <c r="AQ29" i="2"/>
  <c r="AR29" i="2" s="1"/>
  <c r="AS29" i="2" s="1"/>
  <c r="AQ31" i="2"/>
  <c r="AR31" i="2" s="1"/>
  <c r="AS31" i="2" s="1"/>
  <c r="AQ33" i="2"/>
  <c r="AR33" i="2" s="1"/>
  <c r="AS33" i="2" s="1"/>
  <c r="AQ35" i="2"/>
  <c r="AR35" i="2" s="1"/>
  <c r="AS35" i="2" s="1"/>
  <c r="AQ37" i="2"/>
  <c r="AR37" i="2" s="1"/>
  <c r="AS37" i="2" s="1"/>
  <c r="AQ39" i="2"/>
  <c r="AR39" i="2" s="1"/>
  <c r="AS39" i="2" s="1"/>
  <c r="AQ41" i="2"/>
  <c r="AR41" i="2" s="1"/>
  <c r="AS41" i="2" s="1"/>
  <c r="AQ43" i="2"/>
  <c r="AR43" i="2" s="1"/>
  <c r="AS43" i="2" s="1"/>
  <c r="AQ45" i="2"/>
  <c r="AR45" i="2" s="1"/>
  <c r="AS45" i="2" s="1"/>
  <c r="AQ47" i="2"/>
  <c r="AR47" i="2" s="1"/>
  <c r="AS47" i="2" s="1"/>
  <c r="AQ74" i="2"/>
  <c r="AR74" i="2" s="1"/>
  <c r="AS74" i="2" s="1"/>
  <c r="AQ75" i="2"/>
  <c r="AR75" i="2" s="1"/>
  <c r="AT75" i="2" s="1"/>
  <c r="AQ76" i="2"/>
  <c r="AR76" i="2" s="1"/>
  <c r="AS76" i="2" s="1"/>
  <c r="AQ77" i="2"/>
  <c r="AR77" i="2" s="1"/>
  <c r="AT77" i="2" s="1"/>
  <c r="AQ79" i="2"/>
  <c r="AR79" i="2" s="1"/>
  <c r="AT79" i="2" s="1"/>
  <c r="AQ81" i="2"/>
  <c r="AR81" i="2" s="1"/>
  <c r="AT81" i="2" s="1"/>
  <c r="AQ83" i="2"/>
  <c r="AR83" i="2" s="1"/>
  <c r="AS83" i="2" s="1"/>
  <c r="AQ85" i="2"/>
  <c r="AR85" i="2" s="1"/>
  <c r="AT85" i="2" s="1"/>
  <c r="AQ87" i="2"/>
  <c r="AR87" i="2" s="1"/>
  <c r="AS87" i="2" s="1"/>
  <c r="AQ89" i="2"/>
  <c r="AR89" i="2" s="1"/>
  <c r="AT89" i="2" s="1"/>
  <c r="AQ91" i="2"/>
  <c r="AR91" i="2" s="1"/>
  <c r="AS91" i="2" s="1"/>
  <c r="AG71" i="2"/>
  <c r="AQ101" i="2"/>
  <c r="AR101" i="2" s="1"/>
  <c r="AT101" i="2" s="1"/>
  <c r="C18" i="1"/>
  <c r="D18" i="1" s="1"/>
  <c r="AT73" i="3"/>
  <c r="G113" i="1" s="1"/>
  <c r="F73" i="1"/>
  <c r="F81" i="1"/>
  <c r="F89" i="1"/>
  <c r="F97" i="1"/>
  <c r="F105" i="1"/>
  <c r="F113" i="1"/>
  <c r="AQ6" i="2"/>
  <c r="AR6" i="2" s="1"/>
  <c r="AG99" i="2"/>
  <c r="AT31" i="2"/>
  <c r="AT33" i="2"/>
  <c r="F72" i="1"/>
  <c r="F76" i="1"/>
  <c r="F80" i="1"/>
  <c r="F84" i="1"/>
  <c r="F88" i="1"/>
  <c r="F92" i="1"/>
  <c r="F96" i="1"/>
  <c r="F100" i="1"/>
  <c r="F104" i="1"/>
  <c r="F108" i="1"/>
  <c r="F117" i="1"/>
  <c r="AQ8" i="2"/>
  <c r="AQ10" i="2"/>
  <c r="AR10" i="2" s="1"/>
  <c r="AS10" i="2" s="1"/>
  <c r="AQ12" i="2"/>
  <c r="AR12" i="2" s="1"/>
  <c r="AS12" i="2" s="1"/>
  <c r="AQ14" i="2"/>
  <c r="AR14" i="2" s="1"/>
  <c r="AS14" i="2" s="1"/>
  <c r="AQ16" i="2"/>
  <c r="AR16" i="2" s="1"/>
  <c r="AS16" i="2" s="1"/>
  <c r="AQ18" i="2"/>
  <c r="AR18" i="2" s="1"/>
  <c r="AS18" i="2" s="1"/>
  <c r="AQ20" i="2"/>
  <c r="AR20" i="2" s="1"/>
  <c r="AS20" i="2" s="1"/>
  <c r="AQ22" i="2"/>
  <c r="AR22" i="2" s="1"/>
  <c r="AS22" i="2" s="1"/>
  <c r="AQ24" i="2"/>
  <c r="AR24" i="2" s="1"/>
  <c r="AS24" i="2" s="1"/>
  <c r="AQ26" i="2"/>
  <c r="AR26" i="2" s="1"/>
  <c r="AS26" i="2" s="1"/>
  <c r="AT81" i="3"/>
  <c r="G121" i="1" s="1"/>
  <c r="F60" i="1"/>
  <c r="AG49" i="2"/>
  <c r="AQ51" i="2"/>
  <c r="AQ53" i="2"/>
  <c r="AR53" i="2" s="1"/>
  <c r="AS53" i="2" s="1"/>
  <c r="AQ55" i="2"/>
  <c r="AR55" i="2" s="1"/>
  <c r="AS55" i="2" s="1"/>
  <c r="AQ57" i="2"/>
  <c r="AR57" i="2" s="1"/>
  <c r="AS57" i="2" s="1"/>
  <c r="AQ59" i="2"/>
  <c r="AR59" i="2" s="1"/>
  <c r="AS59" i="2" s="1"/>
  <c r="AQ61" i="2"/>
  <c r="AR61" i="2" s="1"/>
  <c r="AS61" i="2" s="1"/>
  <c r="AQ63" i="2"/>
  <c r="AR63" i="2" s="1"/>
  <c r="AS63" i="2" s="1"/>
  <c r="AQ65" i="2"/>
  <c r="AR65" i="2" s="1"/>
  <c r="AS65" i="2" s="1"/>
  <c r="AQ67" i="2"/>
  <c r="AR67" i="2" s="1"/>
  <c r="AS67" i="2" s="1"/>
  <c r="AQ69" i="2"/>
  <c r="AR69" i="2" s="1"/>
  <c r="AS69" i="2" s="1"/>
  <c r="AQ78" i="2"/>
  <c r="AR78" i="2" s="1"/>
  <c r="AS78" i="2" s="1"/>
  <c r="AQ80" i="2"/>
  <c r="AR80" i="2" s="1"/>
  <c r="AS80" i="2" s="1"/>
  <c r="AQ82" i="2"/>
  <c r="AR82" i="2" s="1"/>
  <c r="AS82" i="2" s="1"/>
  <c r="AQ84" i="2"/>
  <c r="AR84" i="2" s="1"/>
  <c r="AS84" i="2" s="1"/>
  <c r="AQ86" i="2"/>
  <c r="AR86" i="2" s="1"/>
  <c r="AS86" i="2" s="1"/>
  <c r="AQ88" i="2"/>
  <c r="AR88" i="2" s="1"/>
  <c r="AS88" i="2" s="1"/>
  <c r="AQ90" i="2"/>
  <c r="AR90" i="2" s="1"/>
  <c r="AS90" i="2" s="1"/>
  <c r="AQ92" i="2"/>
  <c r="AR92" i="2" s="1"/>
  <c r="AS92" i="2" s="1"/>
  <c r="F121" i="1"/>
  <c r="AT62" i="2"/>
  <c r="AT9" i="2"/>
  <c r="AS23" i="2"/>
  <c r="AT25" i="2"/>
  <c r="O5" i="2"/>
  <c r="N27" i="2"/>
  <c r="M49" i="2"/>
  <c r="L5" i="2"/>
  <c r="M71" i="2"/>
  <c r="AQ72" i="2"/>
  <c r="AS105" i="2"/>
  <c r="AS111" i="2"/>
  <c r="N93" i="2"/>
  <c r="O96" i="2"/>
  <c r="L99" i="2"/>
  <c r="M102" i="2"/>
  <c r="AT6" i="3"/>
  <c r="G46" i="1" s="1"/>
  <c r="AU6" i="3"/>
  <c r="H46" i="1" s="1"/>
  <c r="AT10" i="3"/>
  <c r="G50" i="1" s="1"/>
  <c r="AU10" i="3"/>
  <c r="H50" i="1" s="1"/>
  <c r="AT14" i="3"/>
  <c r="G54" i="1" s="1"/>
  <c r="AU14" i="3"/>
  <c r="H54" i="1" s="1"/>
  <c r="AT18" i="3"/>
  <c r="G58" i="1" s="1"/>
  <c r="AU18" i="3"/>
  <c r="H58" i="1" s="1"/>
  <c r="AT22" i="3"/>
  <c r="G62" i="1" s="1"/>
  <c r="AU22" i="3"/>
  <c r="H62" i="1" s="1"/>
  <c r="AT26" i="3"/>
  <c r="G66" i="1" s="1"/>
  <c r="AU26" i="3"/>
  <c r="H66" i="1" s="1"/>
  <c r="L96" i="2"/>
  <c r="M99" i="2"/>
  <c r="AQ123" i="2"/>
  <c r="M122" i="2"/>
  <c r="AU5" i="3"/>
  <c r="H45" i="1" s="1"/>
  <c r="AT5" i="3"/>
  <c r="G45" i="1" s="1"/>
  <c r="AU9" i="3"/>
  <c r="H49" i="1" s="1"/>
  <c r="AT9" i="3"/>
  <c r="G49" i="1" s="1"/>
  <c r="AU13" i="3"/>
  <c r="H53" i="1" s="1"/>
  <c r="AT13" i="3"/>
  <c r="G53" i="1" s="1"/>
  <c r="AU17" i="3"/>
  <c r="H57" i="1" s="1"/>
  <c r="AT17" i="3"/>
  <c r="G57" i="1" s="1"/>
  <c r="AU21" i="3"/>
  <c r="H61" i="1" s="1"/>
  <c r="AT21" i="3"/>
  <c r="G61" i="1" s="1"/>
  <c r="AU25" i="3"/>
  <c r="H65" i="1" s="1"/>
  <c r="AT25" i="3"/>
  <c r="G65" i="1" s="1"/>
  <c r="AT4" i="3"/>
  <c r="G44" i="1" s="1"/>
  <c r="AU4" i="3"/>
  <c r="H44" i="1" s="1"/>
  <c r="AT8" i="3"/>
  <c r="G48" i="1" s="1"/>
  <c r="AU8" i="3"/>
  <c r="H48" i="1" s="1"/>
  <c r="AT12" i="3"/>
  <c r="G52" i="1" s="1"/>
  <c r="AU12" i="3"/>
  <c r="H52" i="1" s="1"/>
  <c r="AT16" i="3"/>
  <c r="G56" i="1" s="1"/>
  <c r="AU16" i="3"/>
  <c r="H56" i="1" s="1"/>
  <c r="AT20" i="3"/>
  <c r="G60" i="1" s="1"/>
  <c r="AU20" i="3"/>
  <c r="H60" i="1" s="1"/>
  <c r="AT24" i="3"/>
  <c r="G64" i="1" s="1"/>
  <c r="AU24" i="3"/>
  <c r="H64" i="1" s="1"/>
  <c r="AT28" i="3"/>
  <c r="G68" i="1" s="1"/>
  <c r="AU28" i="3"/>
  <c r="H68" i="1" s="1"/>
  <c r="AU7" i="3"/>
  <c r="H47" i="1" s="1"/>
  <c r="AT7" i="3"/>
  <c r="G47" i="1" s="1"/>
  <c r="AU11" i="3"/>
  <c r="H51" i="1" s="1"/>
  <c r="AT11" i="3"/>
  <c r="G51" i="1" s="1"/>
  <c r="AU15" i="3"/>
  <c r="H55" i="1" s="1"/>
  <c r="AT15" i="3"/>
  <c r="G55" i="1" s="1"/>
  <c r="AU19" i="3"/>
  <c r="H59" i="1" s="1"/>
  <c r="AT19" i="3"/>
  <c r="G59" i="1" s="1"/>
  <c r="AU23" i="3"/>
  <c r="H63" i="1" s="1"/>
  <c r="AT23" i="3"/>
  <c r="G63" i="1" s="1"/>
  <c r="AU27" i="3"/>
  <c r="H67" i="1" s="1"/>
  <c r="AT27" i="3"/>
  <c r="G67" i="1" s="1"/>
  <c r="AS3" i="3"/>
  <c r="C17" i="1" s="1"/>
  <c r="AT29" i="3"/>
  <c r="G69" i="1" s="1"/>
  <c r="AT30" i="3"/>
  <c r="G70" i="1" s="1"/>
  <c r="AT31" i="3"/>
  <c r="G71" i="1" s="1"/>
  <c r="AT32" i="3"/>
  <c r="G72" i="1" s="1"/>
  <c r="AT33" i="3"/>
  <c r="G73" i="1" s="1"/>
  <c r="AT34" i="3"/>
  <c r="G74" i="1" s="1"/>
  <c r="AT35" i="3"/>
  <c r="G75" i="1" s="1"/>
  <c r="AT36" i="3"/>
  <c r="G76" i="1" s="1"/>
  <c r="AT37" i="3"/>
  <c r="G77" i="1" s="1"/>
  <c r="AT38" i="3"/>
  <c r="G78" i="1" s="1"/>
  <c r="AT39" i="3"/>
  <c r="G79" i="1" s="1"/>
  <c r="AT40" i="3"/>
  <c r="G80" i="1" s="1"/>
  <c r="AT41" i="3"/>
  <c r="G81" i="1" s="1"/>
  <c r="AT42" i="3"/>
  <c r="G82" i="1" s="1"/>
  <c r="AT43" i="3"/>
  <c r="G83" i="1" s="1"/>
  <c r="AT44" i="3"/>
  <c r="G84" i="1" s="1"/>
  <c r="AT45" i="3"/>
  <c r="G85" i="1" s="1"/>
  <c r="AT46" i="3"/>
  <c r="G86" i="1" s="1"/>
  <c r="AT47" i="3"/>
  <c r="G87" i="1" s="1"/>
  <c r="AT48" i="3"/>
  <c r="G88" i="1" s="1"/>
  <c r="AT49" i="3"/>
  <c r="G89" i="1" s="1"/>
  <c r="AT50" i="3"/>
  <c r="G90" i="1" s="1"/>
  <c r="AT51" i="3"/>
  <c r="G91" i="1" s="1"/>
  <c r="AT52" i="3"/>
  <c r="G92" i="1" s="1"/>
  <c r="AT53" i="3"/>
  <c r="G93" i="1" s="1"/>
  <c r="AT54" i="3"/>
  <c r="G94" i="1" s="1"/>
  <c r="AT55" i="3"/>
  <c r="G95" i="1" s="1"/>
  <c r="AT56" i="3"/>
  <c r="G96" i="1" s="1"/>
  <c r="AT57" i="3"/>
  <c r="G97" i="1" s="1"/>
  <c r="AT58" i="3"/>
  <c r="G98" i="1" s="1"/>
  <c r="AT59" i="3"/>
  <c r="G99" i="1" s="1"/>
  <c r="AT60" i="3"/>
  <c r="G100" i="1" s="1"/>
  <c r="AT61" i="3"/>
  <c r="G101" i="1" s="1"/>
  <c r="AT62" i="3"/>
  <c r="G102" i="1" s="1"/>
  <c r="AT63" i="3"/>
  <c r="G103" i="1" s="1"/>
  <c r="AT64" i="3"/>
  <c r="G104" i="1" s="1"/>
  <c r="AT65" i="3"/>
  <c r="G105" i="1" s="1"/>
  <c r="AT66" i="3"/>
  <c r="G106" i="1" s="1"/>
  <c r="AT67" i="3"/>
  <c r="G107" i="1" s="1"/>
  <c r="AT68" i="3"/>
  <c r="G108" i="1" s="1"/>
  <c r="AT69" i="3"/>
  <c r="G109" i="1" s="1"/>
  <c r="AU76" i="3"/>
  <c r="H116" i="1" s="1"/>
  <c r="AT76" i="3"/>
  <c r="G116" i="1" s="1"/>
  <c r="AT77" i="3"/>
  <c r="G117" i="1" s="1"/>
  <c r="AU84" i="3"/>
  <c r="H124" i="1" s="1"/>
  <c r="AT84" i="3"/>
  <c r="G124" i="1" s="1"/>
  <c r="AU88" i="3"/>
  <c r="H128" i="1" s="1"/>
  <c r="AT88" i="3"/>
  <c r="G128" i="1" s="1"/>
  <c r="AU92" i="3"/>
  <c r="H132" i="1" s="1"/>
  <c r="AT92" i="3"/>
  <c r="G132" i="1" s="1"/>
  <c r="AU96" i="3"/>
  <c r="H136" i="1" s="1"/>
  <c r="AT96" i="3"/>
  <c r="G136" i="1" s="1"/>
  <c r="AU100" i="3"/>
  <c r="H140" i="1" s="1"/>
  <c r="AT100" i="3"/>
  <c r="G140" i="1" s="1"/>
  <c r="AU104" i="3"/>
  <c r="H144" i="1" s="1"/>
  <c r="AT104" i="3"/>
  <c r="G144" i="1" s="1"/>
  <c r="AU108" i="3"/>
  <c r="H148" i="1" s="1"/>
  <c r="AT108" i="3"/>
  <c r="G148" i="1" s="1"/>
  <c r="AU112" i="3"/>
  <c r="H152" i="1" s="1"/>
  <c r="AT112" i="3"/>
  <c r="G152" i="1" s="1"/>
  <c r="AU74" i="3"/>
  <c r="H114" i="1" s="1"/>
  <c r="AT74" i="3"/>
  <c r="G114" i="1" s="1"/>
  <c r="AT75" i="3"/>
  <c r="G115" i="1" s="1"/>
  <c r="AU82" i="3"/>
  <c r="H122" i="1" s="1"/>
  <c r="AT82" i="3"/>
  <c r="G122" i="1" s="1"/>
  <c r="AT83" i="3"/>
  <c r="G123" i="1" s="1"/>
  <c r="AU87" i="3"/>
  <c r="H127" i="1" s="1"/>
  <c r="AT87" i="3"/>
  <c r="G127" i="1" s="1"/>
  <c r="AU91" i="3"/>
  <c r="H131" i="1" s="1"/>
  <c r="AT91" i="3"/>
  <c r="G131" i="1" s="1"/>
  <c r="AU95" i="3"/>
  <c r="H135" i="1" s="1"/>
  <c r="AT95" i="3"/>
  <c r="G135" i="1" s="1"/>
  <c r="AU99" i="3"/>
  <c r="H139" i="1" s="1"/>
  <c r="AT99" i="3"/>
  <c r="G139" i="1" s="1"/>
  <c r="AU103" i="3"/>
  <c r="H143" i="1" s="1"/>
  <c r="AT103" i="3"/>
  <c r="G143" i="1" s="1"/>
  <c r="AU107" i="3"/>
  <c r="H147" i="1" s="1"/>
  <c r="AT107" i="3"/>
  <c r="G147" i="1" s="1"/>
  <c r="AU111" i="3"/>
  <c r="H151" i="1" s="1"/>
  <c r="AT111" i="3"/>
  <c r="G151" i="1" s="1"/>
  <c r="AU72" i="3"/>
  <c r="H112" i="1" s="1"/>
  <c r="AT72" i="3"/>
  <c r="G112" i="1" s="1"/>
  <c r="AU80" i="3"/>
  <c r="H120" i="1" s="1"/>
  <c r="AT80" i="3"/>
  <c r="G120" i="1" s="1"/>
  <c r="AU86" i="3"/>
  <c r="H126" i="1" s="1"/>
  <c r="AT86" i="3"/>
  <c r="G126" i="1" s="1"/>
  <c r="AU90" i="3"/>
  <c r="H130" i="1" s="1"/>
  <c r="AT90" i="3"/>
  <c r="G130" i="1" s="1"/>
  <c r="AU94" i="3"/>
  <c r="H134" i="1" s="1"/>
  <c r="AT94" i="3"/>
  <c r="G134" i="1" s="1"/>
  <c r="AU98" i="3"/>
  <c r="H138" i="1" s="1"/>
  <c r="AT98" i="3"/>
  <c r="G138" i="1" s="1"/>
  <c r="AU102" i="3"/>
  <c r="H142" i="1" s="1"/>
  <c r="AT102" i="3"/>
  <c r="G142" i="1" s="1"/>
  <c r="AU106" i="3"/>
  <c r="H146" i="1" s="1"/>
  <c r="AT106" i="3"/>
  <c r="G146" i="1" s="1"/>
  <c r="AU110" i="3"/>
  <c r="H150" i="1" s="1"/>
  <c r="AT110" i="3"/>
  <c r="G150" i="1" s="1"/>
  <c r="AU70" i="3"/>
  <c r="H110" i="1" s="1"/>
  <c r="AT70" i="3"/>
  <c r="G110" i="1" s="1"/>
  <c r="AT71" i="3"/>
  <c r="G111" i="1" s="1"/>
  <c r="AU78" i="3"/>
  <c r="H118" i="1" s="1"/>
  <c r="AT78" i="3"/>
  <c r="G118" i="1" s="1"/>
  <c r="AT79" i="3"/>
  <c r="G119" i="1" s="1"/>
  <c r="AU85" i="3"/>
  <c r="H125" i="1" s="1"/>
  <c r="AT85" i="3"/>
  <c r="G125" i="1" s="1"/>
  <c r="AU89" i="3"/>
  <c r="H129" i="1" s="1"/>
  <c r="AT89" i="3"/>
  <c r="G129" i="1" s="1"/>
  <c r="AU93" i="3"/>
  <c r="H133" i="1" s="1"/>
  <c r="AT93" i="3"/>
  <c r="G133" i="1" s="1"/>
  <c r="AU97" i="3"/>
  <c r="H137" i="1" s="1"/>
  <c r="AT97" i="3"/>
  <c r="G137" i="1" s="1"/>
  <c r="AU101" i="3"/>
  <c r="H141" i="1" s="1"/>
  <c r="AT101" i="3"/>
  <c r="G141" i="1" s="1"/>
  <c r="AU105" i="3"/>
  <c r="H145" i="1" s="1"/>
  <c r="AT105" i="3"/>
  <c r="G145" i="1" s="1"/>
  <c r="AU109" i="3"/>
  <c r="H149" i="1" s="1"/>
  <c r="AT109" i="3"/>
  <c r="G149" i="1" s="1"/>
  <c r="AU113" i="3"/>
  <c r="H153" i="1" s="1"/>
  <c r="AT113" i="3"/>
  <c r="G153" i="1" s="1"/>
  <c r="AT110" i="2" l="1"/>
  <c r="AT17" i="2"/>
  <c r="AS113" i="2"/>
  <c r="H8" i="1"/>
  <c r="AT54" i="2"/>
  <c r="AT108" i="2"/>
  <c r="AS109" i="2"/>
  <c r="AA125" i="2"/>
  <c r="AT116" i="2"/>
  <c r="AS85" i="2"/>
  <c r="AT84" i="2"/>
  <c r="AS77" i="2"/>
  <c r="AT91" i="2"/>
  <c r="AT12" i="2"/>
  <c r="AT10" i="2"/>
  <c r="AT64" i="2"/>
  <c r="Q125" i="2"/>
  <c r="AL125" i="2"/>
  <c r="T125" i="2"/>
  <c r="AT92" i="2"/>
  <c r="AT95" i="2"/>
  <c r="AT83" i="2"/>
  <c r="AT55" i="2"/>
  <c r="AT58" i="2"/>
  <c r="AP125" i="2"/>
  <c r="Z125" i="2"/>
  <c r="V125" i="2"/>
  <c r="AT68" i="2"/>
  <c r="AS34" i="2"/>
  <c r="AS73" i="2"/>
  <c r="AK125" i="2"/>
  <c r="AS115" i="2"/>
  <c r="AS46" i="2"/>
  <c r="AT46" i="2"/>
  <c r="AT13" i="2"/>
  <c r="AS81" i="2"/>
  <c r="AS66" i="2"/>
  <c r="AT30" i="2"/>
  <c r="AT26" i="2"/>
  <c r="AQ96" i="2"/>
  <c r="AI125" i="2"/>
  <c r="C12" i="1"/>
  <c r="AT48" i="2"/>
  <c r="AS48" i="2"/>
  <c r="AT40" i="2"/>
  <c r="AS40" i="2"/>
  <c r="AS15" i="2"/>
  <c r="AS70" i="2"/>
  <c r="AS52" i="2"/>
  <c r="F9" i="1"/>
  <c r="AS117" i="2"/>
  <c r="AS101" i="2"/>
  <c r="AS21" i="2"/>
  <c r="AS7" i="2"/>
  <c r="AT63" i="2"/>
  <c r="AT56" i="2"/>
  <c r="AS42" i="2"/>
  <c r="AS36" i="2"/>
  <c r="AS32" i="2"/>
  <c r="AT121" i="2"/>
  <c r="AT20" i="2"/>
  <c r="F7" i="1"/>
  <c r="D12" i="1"/>
  <c r="AC125" i="2"/>
  <c r="AH125" i="2"/>
  <c r="R125" i="2"/>
  <c r="S125" i="2"/>
  <c r="U125" i="2"/>
  <c r="AT38" i="2"/>
  <c r="AT118" i="2"/>
  <c r="AR100" i="2"/>
  <c r="AS100" i="2" s="1"/>
  <c r="AT80" i="2"/>
  <c r="AT87" i="2"/>
  <c r="AT57" i="2"/>
  <c r="AT18" i="2"/>
  <c r="AT47" i="2"/>
  <c r="AM125" i="2"/>
  <c r="W125" i="2"/>
  <c r="AO125" i="2"/>
  <c r="X125" i="2"/>
  <c r="AE125" i="2"/>
  <c r="Y125" i="2"/>
  <c r="AD125" i="2"/>
  <c r="AQ27" i="2"/>
  <c r="AQ99" i="2"/>
  <c r="AS89" i="2"/>
  <c r="AS19" i="2"/>
  <c r="AS11" i="2"/>
  <c r="AS44" i="2"/>
  <c r="AJ125" i="2"/>
  <c r="F8" i="1"/>
  <c r="N125" i="2"/>
  <c r="AT114" i="2"/>
  <c r="AT106" i="2"/>
  <c r="AT74" i="2"/>
  <c r="AS119" i="2"/>
  <c r="AS107" i="2"/>
  <c r="AS98" i="2"/>
  <c r="M125" i="2"/>
  <c r="AS79" i="2"/>
  <c r="AS60" i="2"/>
  <c r="AT41" i="2"/>
  <c r="AF125" i="2"/>
  <c r="P125" i="2"/>
  <c r="AT120" i="2"/>
  <c r="AT112" i="2"/>
  <c r="AT104" i="2"/>
  <c r="AQ102" i="2"/>
  <c r="AQ93" i="2"/>
  <c r="AT39" i="2"/>
  <c r="AN125" i="2"/>
  <c r="AB125" i="2"/>
  <c r="AT88" i="2"/>
  <c r="AT45" i="2"/>
  <c r="AT37" i="2"/>
  <c r="AT29" i="2"/>
  <c r="AT76" i="2"/>
  <c r="AT86" i="2"/>
  <c r="AT65" i="2"/>
  <c r="AS75" i="2"/>
  <c r="AT43" i="2"/>
  <c r="AT35" i="2"/>
  <c r="F4" i="1"/>
  <c r="F10" i="1"/>
  <c r="AT69" i="2"/>
  <c r="AT61" i="2"/>
  <c r="AT53" i="2"/>
  <c r="AG125" i="2"/>
  <c r="AT90" i="2"/>
  <c r="AT82" i="2"/>
  <c r="AT67" i="2"/>
  <c r="AT59" i="2"/>
  <c r="AT124" i="2"/>
  <c r="AT78" i="2"/>
  <c r="AQ49" i="2"/>
  <c r="AT24" i="2"/>
  <c r="AT16" i="2"/>
  <c r="AQ5" i="2"/>
  <c r="AR51" i="2"/>
  <c r="E5" i="1" s="1"/>
  <c r="G5" i="1" s="1"/>
  <c r="F5" i="1"/>
  <c r="AT22" i="2"/>
  <c r="AT14" i="2"/>
  <c r="AR8" i="2"/>
  <c r="E3" i="1" s="1"/>
  <c r="F3" i="1"/>
  <c r="AQ71" i="2"/>
  <c r="AR72" i="2"/>
  <c r="F6" i="1"/>
  <c r="O125" i="2"/>
  <c r="AT28" i="2"/>
  <c r="AR27" i="2"/>
  <c r="AS27" i="2" s="1"/>
  <c r="AS28" i="2"/>
  <c r="E4" i="1"/>
  <c r="G4" i="1" s="1"/>
  <c r="AU3" i="3"/>
  <c r="AS1" i="3"/>
  <c r="AT1" i="3" s="1"/>
  <c r="AT3" i="3"/>
  <c r="G43" i="1" s="1"/>
  <c r="D17" i="1"/>
  <c r="F43" i="1"/>
  <c r="AT96" i="2"/>
  <c r="AT94" i="2"/>
  <c r="AR93" i="2"/>
  <c r="AS93" i="2" s="1"/>
  <c r="AS94" i="2"/>
  <c r="E7" i="1"/>
  <c r="G7" i="1" s="1"/>
  <c r="AR5" i="2"/>
  <c r="AS6" i="2"/>
  <c r="AT50" i="2"/>
  <c r="AS50" i="2"/>
  <c r="AT6" i="2"/>
  <c r="AR123" i="2"/>
  <c r="AQ122" i="2"/>
  <c r="F11" i="1"/>
  <c r="AT103" i="2"/>
  <c r="AR102" i="2"/>
  <c r="AS102" i="2" s="1"/>
  <c r="AS103" i="2"/>
  <c r="E10" i="1"/>
  <c r="G10" i="1" s="1"/>
  <c r="AT100" i="2"/>
  <c r="H9" i="1" s="1"/>
  <c r="AR96" i="2"/>
  <c r="AS96" i="2" s="1"/>
  <c r="AS97" i="2"/>
  <c r="E8" i="1"/>
  <c r="G8" i="1" s="1"/>
  <c r="L125" i="2"/>
  <c r="H10" i="1" l="1"/>
  <c r="E9" i="1"/>
  <c r="G9" i="1" s="1"/>
  <c r="AR99" i="2"/>
  <c r="AS99" i="2" s="1"/>
  <c r="AQ125" i="2"/>
  <c r="AR49" i="2"/>
  <c r="AS49" i="2" s="1"/>
  <c r="AS8" i="2"/>
  <c r="AT8" i="2"/>
  <c r="AT5" i="2" s="1"/>
  <c r="AS51" i="2"/>
  <c r="AT51" i="2"/>
  <c r="H5" i="1" s="1"/>
  <c r="G3" i="1"/>
  <c r="AR122" i="2"/>
  <c r="AS122" i="2" s="1"/>
  <c r="AS123" i="2"/>
  <c r="E11" i="1"/>
  <c r="G11" i="1" s="1"/>
  <c r="AT123" i="2"/>
  <c r="H11" i="1" s="1"/>
  <c r="AS5" i="2"/>
  <c r="AT93" i="2"/>
  <c r="H7" i="1"/>
  <c r="AU1" i="3"/>
  <c r="H43" i="1"/>
  <c r="AT27" i="2"/>
  <c r="H4" i="1"/>
  <c r="AT99" i="2"/>
  <c r="F12" i="1"/>
  <c r="AT102" i="2"/>
  <c r="AR71" i="2"/>
  <c r="AS71" i="2" s="1"/>
  <c r="AS72" i="2"/>
  <c r="E6" i="1"/>
  <c r="G6" i="1" s="1"/>
  <c r="AT72" i="2"/>
  <c r="AT49" i="2" l="1"/>
  <c r="H3" i="1"/>
  <c r="AR125" i="2"/>
  <c r="AS125" i="2" s="1"/>
  <c r="AT122" i="2"/>
  <c r="E12" i="1"/>
  <c r="G12" i="1" s="1"/>
  <c r="AT71" i="2"/>
  <c r="H6" i="1"/>
  <c r="AT125" i="2" l="1"/>
</calcChain>
</file>

<file path=xl/sharedStrings.xml><?xml version="1.0" encoding="utf-8"?>
<sst xmlns="http://schemas.openxmlformats.org/spreadsheetml/2006/main" count="751" uniqueCount="125">
  <si>
    <t>SAMUH — Overall Production Tracker (Plant-wise Rollup)</t>
  </si>
  <si>
    <t>Plant / Location</t>
  </si>
  <si>
    <t>CMU Name</t>
  </si>
  <si>
    <t>No. of SKUs</t>
  </si>
  <si>
    <t>Month Plan (Ton)</t>
  </si>
  <si>
    <t>Total Production (Ton)</t>
  </si>
  <si>
    <t>Total Production (Case)</t>
  </si>
  <si>
    <t>Achievement %</t>
  </si>
  <si>
    <t>Remaining (Ton)</t>
  </si>
  <si>
    <t>Lucknow</t>
  </si>
  <si>
    <t>VEETADAY INDUSTRIES PRIVATE LIMITED</t>
  </si>
  <si>
    <t>Rudrapur</t>
  </si>
  <si>
    <t>SWG</t>
  </si>
  <si>
    <t>Asansol, West Bengal</t>
  </si>
  <si>
    <t>STRAIGHT LINE FOOD PRODUCTS PRIVATE LIMITED</t>
  </si>
  <si>
    <t>Kathua, Jammu</t>
  </si>
  <si>
    <t>RATTAN OIL MILLS</t>
  </si>
  <si>
    <t>Kanpur</t>
  </si>
  <si>
    <t>Meera Baker</t>
  </si>
  <si>
    <t>Kashipur</t>
  </si>
  <si>
    <t>DEVARPAN FOODS PRIVATE LIMITED</t>
  </si>
  <si>
    <t>Shubham Enterprises</t>
  </si>
  <si>
    <t>Saharnpur</t>
  </si>
  <si>
    <t>Kolkata</t>
  </si>
  <si>
    <t>BHAGWATI</t>
  </si>
  <si>
    <t>Punjab</t>
  </si>
  <si>
    <t>Shri Shyam</t>
  </si>
  <si>
    <t>GRAND TOTAL</t>
  </si>
  <si>
    <t>Category-wise Summary</t>
  </si>
  <si>
    <t>Category</t>
  </si>
  <si>
    <t>Biscuits</t>
  </si>
  <si>
    <t>Rusk</t>
  </si>
  <si>
    <t>Product-wise Achievement</t>
  </si>
  <si>
    <t>SKU Code</t>
  </si>
  <si>
    <t>Product Name</t>
  </si>
  <si>
    <t>Location</t>
  </si>
  <si>
    <t>SAMUH — Plant-wise Production Tracker</t>
  </si>
  <si>
    <t>All plants in one view — grouped by plant with subtotal rows. Source: Master Data tab (live-linked).</t>
  </si>
  <si>
    <t>Merge Sku</t>
  </si>
  <si>
    <t>MM</t>
  </si>
  <si>
    <t>Product Category</t>
  </si>
  <si>
    <t>SKU CODE</t>
  </si>
  <si>
    <t>MRP</t>
  </si>
  <si>
    <t>GM</t>
  </si>
  <si>
    <t>Case Size</t>
  </si>
  <si>
    <t>Month
 Plan
 in ton</t>
  </si>
  <si>
    <t>Total Production in Case
 in Case</t>
  </si>
  <si>
    <t>Total Production in Ton
 In Ton</t>
  </si>
  <si>
    <t>Achievement</t>
  </si>
  <si>
    <t>Remaining Production 
in Ton</t>
  </si>
  <si>
    <t>Lucknow  (CMU: VEETADAY INDUSTRIES PRIVATE LIMITED)  — TOTAL</t>
  </si>
  <si>
    <t>Rudrapur  (CMU: SWG)  — TOTAL</t>
  </si>
  <si>
    <t>Asansol, West Bengal  (CMU: STRAIGHT LINE FOOD PRODUCTS PRIVATE LIMITED)  — TOTAL</t>
  </si>
  <si>
    <t>Kathua, Jammu  (CMU: RATTAN OIL MILLS)  — TOTAL</t>
  </si>
  <si>
    <t>Kanpur  (CMU: Meera Baker)  — TOTAL</t>
  </si>
  <si>
    <t>Kashipur  (CMU: DEVARPAN FOODS PRIVATE LIMITED)  — TOTAL</t>
  </si>
  <si>
    <t>Shubham Enterprises  (CMU: Saharnpur)  — TOTAL</t>
  </si>
  <si>
    <t>Kolkata  (CMU: BHAGWATI)  — TOTAL</t>
  </si>
  <si>
    <t>Punjab  (CMU: Shri Shyam)  — TOTAL</t>
  </si>
  <si>
    <t>GRAND TOTAL — ALL PLANTS</t>
  </si>
  <si>
    <t>VD</t>
  </si>
  <si>
    <t>ROZ39494</t>
  </si>
  <si>
    <t>Samuh Milky Biscuit 35 g</t>
  </si>
  <si>
    <t>ROZ23739</t>
  </si>
  <si>
    <t>Samuh Beat it! Bite it! Orange Cream Biscuit 35 g</t>
  </si>
  <si>
    <t>ROZ23738</t>
  </si>
  <si>
    <t>Samuh Beat it Bite it Chocolate Cream Biscuit 35 g</t>
  </si>
  <si>
    <t>ROZ23743</t>
  </si>
  <si>
    <t>Samuh Butter Cookies Biscuit 32 g</t>
  </si>
  <si>
    <t>ROZ23740</t>
  </si>
  <si>
    <t>Samuh Zeera Biscuit 35 g</t>
  </si>
  <si>
    <t>ROZ23741</t>
  </si>
  <si>
    <t>Samuh Coconut Cookies Biscuit 35 g</t>
  </si>
  <si>
    <t>ROZ23742</t>
  </si>
  <si>
    <t>Samuh Salty Sweety Biscuit 32 g</t>
  </si>
  <si>
    <t>ROZ36954</t>
  </si>
  <si>
    <t>Samuh Butter Cashew 30 g</t>
  </si>
  <si>
    <t>ROZ36955</t>
  </si>
  <si>
    <t>Samuh Beat it Bite it Chocolate Cream Biscuit 70 g</t>
  </si>
  <si>
    <t>ROZ36956</t>
  </si>
  <si>
    <t>Samuh Beat it! Bite it! Orange Cream Biscuit 70 g</t>
  </si>
  <si>
    <t>ROZ36957</t>
  </si>
  <si>
    <t>Samuh Coconut Cookies Biscuit 70g</t>
  </si>
  <si>
    <t>ROZ39495</t>
  </si>
  <si>
    <t>Samuh Milky Biscuit 70 g</t>
  </si>
  <si>
    <t>ROZ36959</t>
  </si>
  <si>
    <t>Samuh Salty Sweety Biscuit 65 g</t>
  </si>
  <si>
    <t>ROZ36958</t>
  </si>
  <si>
    <t>Samuh Butter Cookies Biscuit 65g</t>
  </si>
  <si>
    <t>ROZ36962</t>
  </si>
  <si>
    <t>Samuh Marie Biscuit 75g</t>
  </si>
  <si>
    <t>ROZ36961</t>
  </si>
  <si>
    <t>Samuh Butter Kalonji Bliss 65g</t>
  </si>
  <si>
    <t>ROZ36960</t>
  </si>
  <si>
    <t>Samuh Butter Cashew Biscuit 60g</t>
  </si>
  <si>
    <t>ROZ23760</t>
  </si>
  <si>
    <t>Samuh Elaichi Rusk 130 g</t>
  </si>
  <si>
    <t>ROZ23759</t>
  </si>
  <si>
    <t>Samuh Elaichi Rusk 65 g</t>
  </si>
  <si>
    <t>ROZ50020</t>
  </si>
  <si>
    <t xml:space="preserve">Samuh Marie Biscuit 35 g	</t>
  </si>
  <si>
    <t>Marie 30 Rs</t>
  </si>
  <si>
    <t>STR</t>
  </si>
  <si>
    <t>RT</t>
  </si>
  <si>
    <t>Samuh Coconut Cookies Biscuit 33 g</t>
  </si>
  <si>
    <t>Samuh Coconut Cookies Biscuit 66g</t>
  </si>
  <si>
    <t>Samuh Beat it! Bite it! Orange Cream Biscuit 33 g</t>
  </si>
  <si>
    <t>Samuh Beat it! Bite it! Orange Cream Biscuit 66 g</t>
  </si>
  <si>
    <t>Samuh Beat it Bite it Chocolate Cream Biscuit 33 g</t>
  </si>
  <si>
    <t>Samuh Beat it Bite it Chocolate Cream Biscuit 66 g</t>
  </si>
  <si>
    <t>Samuh Butter Cookies Biscuit 30 g</t>
  </si>
  <si>
    <t>Samuh Butter Cookies Biscuit 60g</t>
  </si>
  <si>
    <t>Samuh Butter Cashew 29 g</t>
  </si>
  <si>
    <t>Samuh Butter Cashew Biscuit 58g</t>
  </si>
  <si>
    <t>ROZ46762</t>
  </si>
  <si>
    <t>Samuh Bourbon Biscuit 60 g</t>
  </si>
  <si>
    <t>ROZ50019</t>
  </si>
  <si>
    <t>Samuh Digestive Biscuit 60 g</t>
  </si>
  <si>
    <t>MB</t>
  </si>
  <si>
    <t>DP</t>
  </si>
  <si>
    <t>SH</t>
  </si>
  <si>
    <t>BW</t>
  </si>
  <si>
    <t>PNB</t>
  </si>
  <si>
    <t xml:space="preserve">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</si>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</sst>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_ ;_ * \-#,##0_ ;_ * \-??_ ;_ @_ "/>
    <numFmt numFmtId="165" formatCode="_ * #,##0.0_ ;_ * \-#,##0.0_ ;_ * \-??_ ;_ @_ "/>
    <numFmt numFmtId="166" formatCode="[$-409]d\-mmm"/>
    <numFmt numFmtId="167" formatCode="_ * #,##0.00_ ;_ * \-#,##0.00_ ;_ * \-??.00_ ;_ @_ "/>
    <numFmt numFmtId="168" formatCode="_(* #,##0_);_(* \(#,##0\);_(* \-??_);_(@_)"/>
    <numFmt numFmtId="169" formatCode="_(* #,##0.0_);_(* \(#,##0.0\);_(* \-??_);_(@_)"/>
    <numFmt numFmtId="170" formatCode="_(* #,##0.00_);_(* \(#,##0.00\);_(* \-??_);_(@_)"/>
  </numFmts>
  <fonts count="17">
    <font>
      <sz val="11"/>
      <color theme="1"/>
      <name val="Calibri"/>
      <family val="2"/>
      <charset val="1"/>
    </font>
    <font>
      <b/>
      <sz val="16"/>
      <color rgb="FF1F4E79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rgb="FF1F4E7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rgb="FFFFFFFF"/>
      <name val="Quattrocento Sans"/>
      <family val="2"/>
    </font>
    <font>
      <b/>
      <sz val="9"/>
      <color rgb="FF1E293B"/>
      <name val="&quot;Quattrocento Sans&quot;"/>
      <charset val="1"/>
    </font>
    <font>
      <b/>
      <sz val="11"/>
      <color theme="1"/>
      <name val="Calibri"/>
      <family val="2"/>
    </font>
    <font>
      <sz val="9"/>
      <color rgb="FF1E293B"/>
      <name val="&quot;Quattrocento Sans&quot;"/>
      <charset val="1"/>
    </font>
    <font>
      <sz val="11"/>
      <color rgb="FF000000"/>
      <name val="Calibri"/>
      <family val="2"/>
    </font>
    <font>
      <b/>
      <sz val="9"/>
      <color rgb="FF1E293B"/>
      <name val="Quattrocento Sans"/>
      <family val="2"/>
    </font>
    <font>
      <sz val="9"/>
      <color rgb="FF1E293B"/>
      <name val="Quattrocento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2E5F8A"/>
      </patternFill>
    </fill>
    <fill>
      <patternFill patternType="solid">
        <fgColor rgb="FFD9E1F2"/>
        <bgColor rgb="FFD9D9D9"/>
      </patternFill>
    </fill>
    <fill>
      <patternFill patternType="solid">
        <fgColor rgb="FF2E5F8A"/>
        <bgColor rgb="FF1F4E79"/>
      </patternFill>
    </fill>
    <fill>
      <patternFill patternType="solid">
        <fgColor theme="5"/>
        <bgColor rgb="FFFF8080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2" borderId="1" xfId="0" applyFont="1" applyFill="1" applyBorder="1"/>
    <xf numFmtId="0" fontId="7" fillId="4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9" fontId="4" fillId="0" borderId="1" xfId="0" applyNumberFormat="1" applyFont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9" fontId="5" fillId="3" borderId="1" xfId="0" applyNumberFormat="1" applyFont="1" applyFill="1" applyBorder="1"/>
    <xf numFmtId="0" fontId="6" fillId="0" borderId="0" xfId="0" applyFont="1"/>
    <xf numFmtId="0" fontId="3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5" fontId="8" fillId="0" borderId="1" xfId="0" applyNumberFormat="1" applyFont="1" applyBorder="1"/>
    <xf numFmtId="9" fontId="8" fillId="0" borderId="1" xfId="0" applyNumberFormat="1" applyFont="1" applyBorder="1"/>
    <xf numFmtId="166" fontId="7" fillId="2" borderId="1" xfId="0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/>
    <xf numFmtId="164" fontId="7" fillId="4" borderId="1" xfId="0" applyNumberFormat="1" applyFont="1" applyFill="1" applyBorder="1"/>
    <xf numFmtId="165" fontId="7" fillId="4" borderId="1" xfId="0" applyNumberFormat="1" applyFont="1" applyFill="1" applyBorder="1"/>
    <xf numFmtId="9" fontId="7" fillId="4" borderId="1" xfId="0" applyNumberFormat="1" applyFont="1" applyFill="1" applyBorder="1"/>
    <xf numFmtId="164" fontId="8" fillId="0" borderId="1" xfId="0" applyNumberFormat="1" applyFont="1" applyBorder="1"/>
    <xf numFmtId="167" fontId="8" fillId="0" borderId="1" xfId="0" applyNumberFormat="1" applyFont="1" applyBorder="1"/>
    <xf numFmtId="167" fontId="3" fillId="2" borderId="1" xfId="0" applyNumberFormat="1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9" fontId="3" fillId="2" borderId="1" xfId="0" applyNumberFormat="1" applyFont="1" applyFill="1" applyBorder="1"/>
    <xf numFmtId="164" fontId="9" fillId="0" borderId="0" xfId="0" applyNumberFormat="1" applyFont="1"/>
    <xf numFmtId="168" fontId="9" fillId="5" borderId="2" xfId="0" applyNumberFormat="1" applyFont="1" applyFill="1" applyBorder="1"/>
    <xf numFmtId="168" fontId="9" fillId="0" borderId="0" xfId="0" applyNumberFormat="1" applyFont="1"/>
    <xf numFmtId="169" fontId="9" fillId="0" borderId="0" xfId="0" applyNumberFormat="1" applyFont="1"/>
    <xf numFmtId="10" fontId="9" fillId="0" borderId="0" xfId="0" applyNumberFormat="1" applyFont="1"/>
    <xf numFmtId="0" fontId="10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167" fontId="10" fillId="2" borderId="4" xfId="0" applyNumberFormat="1" applyFont="1" applyFill="1" applyBorder="1" applyAlignment="1">
      <alignment horizontal="center" vertical="center" wrapText="1"/>
    </xf>
    <xf numFmtId="166" fontId="10" fillId="2" borderId="3" xfId="0" applyNumberFormat="1" applyFont="1" applyFill="1" applyBorder="1" applyAlignment="1">
      <alignment horizontal="center" vertical="center" wrapText="1"/>
    </xf>
    <xf numFmtId="170" fontId="10" fillId="2" borderId="3" xfId="0" applyNumberFormat="1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/>
    <xf numFmtId="165" fontId="9" fillId="0" borderId="2" xfId="0" applyNumberFormat="1" applyFont="1" applyBorder="1"/>
    <xf numFmtId="9" fontId="9" fillId="0" borderId="2" xfId="0" applyNumberFormat="1" applyFont="1" applyBorder="1"/>
    <xf numFmtId="0" fontId="9" fillId="0" borderId="2" xfId="0" applyFont="1" applyBorder="1" applyAlignment="1">
      <alignment horizontal="left"/>
    </xf>
    <xf numFmtId="0" fontId="14" fillId="0" borderId="5" xfId="0" applyFont="1" applyBorder="1" applyAlignment="1">
      <alignment horizontal="center"/>
    </xf>
    <xf numFmtId="0" fontId="14" fillId="0" borderId="6" xfId="0" applyFont="1" applyBorder="1"/>
    <xf numFmtId="0" fontId="9" fillId="0" borderId="7" xfId="0" applyFont="1" applyBorder="1"/>
    <xf numFmtId="0" fontId="9" fillId="0" borderId="2" xfId="0" applyFont="1" applyBorder="1" applyAlignment="1">
      <alignment horizontal="right" vertical="center"/>
    </xf>
    <xf numFmtId="0" fontId="15" fillId="6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164" fontId="9" fillId="0" borderId="8" xfId="0" applyNumberFormat="1" applyFont="1" applyBorder="1"/>
    <xf numFmtId="166" fontId="10" fillId="2" borderId="4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 wrapText="1"/>
    </xf>
    <xf numFmtId="3" fontId="9" fillId="0" borderId="2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left"/>
    </xf>
    <xf numFmtId="167" fontId="11" fillId="6" borderId="7" xfId="0" applyNumberFormat="1" applyFont="1" applyFill="1" applyBorder="1" applyAlignment="1">
      <alignment horizontal="right"/>
    </xf>
    <xf numFmtId="167" fontId="12" fillId="0" borderId="7" xfId="0" applyNumberFormat="1" applyFont="1" applyBorder="1" applyAlignment="1">
      <alignment horizontal="left"/>
    </xf>
    <xf numFmtId="167" fontId="9" fillId="0" borderId="7" xfId="0" applyNumberFormat="1" applyFont="1" applyBorder="1" applyAlignment="1">
      <alignment horizontal="left"/>
    </xf>
    <xf numFmtId="167" fontId="13" fillId="7" borderId="7" xfId="0" applyNumberFormat="1" applyFont="1" applyFill="1" applyBorder="1" applyAlignment="1">
      <alignment horizontal="right"/>
    </xf>
    <xf numFmtId="167" fontId="14" fillId="0" borderId="7" xfId="0" applyNumberFormat="1" applyFont="1" applyBorder="1"/>
    <xf numFmtId="168" fontId="9" fillId="5" borderId="0" xfId="0" applyNumberFormat="1" applyFont="1" applyFill="1"/>
    <xf numFmtId="0" fontId="9" fillId="0" borderId="8" xfId="0" applyFont="1" applyBorder="1" applyAlignment="1">
      <alignment horizontal="right" wrapText="1"/>
    </xf>
    <xf numFmtId="3" fontId="9" fillId="0" borderId="8" xfId="0" applyNumberFormat="1" applyFont="1" applyBorder="1" applyAlignment="1">
      <alignment horizontal="right" wrapText="1"/>
    </xf>
    <xf numFmtId="0" fontId="1" fillId="0" borderId="0" xfId="0" applyFont="1"/>
    <xf numFmtId="0" fontId="2" fillId="0" borderId="0" xfId="0" applyFont="1"/>
    <xf numFmtId="0" fontId="7" fillId="4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5B9BD5"/>
      <rgbColor rgb="FF993366"/>
      <rgbColor rgb="FFF8FAFC"/>
      <rgbColor rgb="FFD9E1F2"/>
      <rgbColor rgb="FF660066"/>
      <rgbColor rgb="FFFF8080"/>
      <rgbColor rgb="FF2E5F8A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 Plan vs Total Production by Plant (Ton)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Tracker'!$D$2</c:f>
              <c:strCache>
                <c:ptCount val="1"/>
                <c:pt idx="0">
                  <c:v>Month Plan (Ton)</c:v>
                </c:pt>
              </c:strCache>
            </c:strRef>
          </c:tx>
          <c:spPr>
            <a:solidFill>
              <a:srgbClr val="5B9BD5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'Overall Tracker'!$A$3:$A$11</c:f>
              <c:strCache>
                <c:ptCount val="9"/>
                <c:pt idx="0">
                  <c:v>Lucknow</c:v>
                </c:pt>
                <c:pt idx="1">
                  <c:v>Rudrapur</c:v>
                </c:pt>
                <c:pt idx="2">
                  <c:v>Asansol, West Bengal</c:v>
                </c:pt>
                <c:pt idx="3">
                  <c:v>Kathua, Jammu</c:v>
                </c:pt>
                <c:pt idx="4">
                  <c:v>Kanpur</c:v>
                </c:pt>
                <c:pt idx="5">
                  <c:v>Kashipur</c:v>
                </c:pt>
                <c:pt idx="6">
                  <c:v>Shubham Enterprises</c:v>
                </c:pt>
                <c:pt idx="7">
                  <c:v>Kolkata</c:v>
                </c:pt>
                <c:pt idx="8">
                  <c:v>Punjab</c:v>
                </c:pt>
              </c:strCache>
            </c:strRef>
          </c:cat>
          <c:val>
            <c:numRef>
              <c:f>'Overall Tracker'!$D$3:$D$11</c:f>
              <c:numCache>
                <c:formatCode>_ * #,##0.0_ ;_ * \-#,##0.0_ ;_ * \-??_ ;_ 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9-4329-AD0A-299F52C3A204}"/>
            </c:ext>
          </c:extLst>
        </c:ser>
        <c:ser>
          <c:idx val="1"/>
          <c:order val="1"/>
          <c:tx>
            <c:strRef>
              <c:f>'Overall Tracker'!$E$2</c:f>
              <c:strCache>
                <c:ptCount val="1"/>
                <c:pt idx="0">
                  <c:v>Total Production (Ton)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'Overall Tracker'!$A$3:$A$11</c:f>
              <c:strCache>
                <c:ptCount val="9"/>
                <c:pt idx="0">
                  <c:v>Lucknow</c:v>
                </c:pt>
                <c:pt idx="1">
                  <c:v>Rudrapur</c:v>
                </c:pt>
                <c:pt idx="2">
                  <c:v>Asansol, West Bengal</c:v>
                </c:pt>
                <c:pt idx="3">
                  <c:v>Kathua, Jammu</c:v>
                </c:pt>
                <c:pt idx="4">
                  <c:v>Kanpur</c:v>
                </c:pt>
                <c:pt idx="5">
                  <c:v>Kashipur</c:v>
                </c:pt>
                <c:pt idx="6">
                  <c:v>Shubham Enterprises</c:v>
                </c:pt>
                <c:pt idx="7">
                  <c:v>Kolkata</c:v>
                </c:pt>
                <c:pt idx="8">
                  <c:v>Punjab</c:v>
                </c:pt>
              </c:strCache>
            </c:strRef>
          </c:cat>
          <c:val>
            <c:numRef>
              <c:f>'Overall Tracker'!$E$3:$E$11</c:f>
              <c:numCache>
                <c:formatCode>_ * #,##0.0_ ;_ * \-#,##0.0_ ;_ * \-??_ ;_ @_ 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09-4329-AD0A-299F52C3A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11144"/>
        <c:axId val="9210133"/>
      </c:barChart>
      <c:catAx>
        <c:axId val="55711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0133"/>
        <c:crosses val="autoZero"/>
        <c:auto val="1"/>
        <c:lblAlgn val="ctr"/>
        <c:lblOffset val="100"/>
        <c:noMultiLvlLbl val="0"/>
      </c:catAx>
      <c:valAx>
        <c:axId val="921013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 * #,##0.0_ ;_ * \-#,##0.0_ ;_ * \-??_ ;_ @_ 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7111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131040</xdr:rowOff>
    </xdr:from>
    <xdr:to>
      <xdr:col>3</xdr:col>
      <xdr:colOff>750918</xdr:colOff>
      <xdr:row>38</xdr:row>
      <xdr:rowOff>110159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Achievement" displayName="ProductAchievement" ref="A42:H153" totalsRowShown="0">
  <autoFilter ref="A42:H153" xr:uid="{00000000-0009-0000-0100-000001000000}"/>
  <tableColumns count="8">
    <tableColumn id="1" xr3:uid="{00000000-0010-0000-0000-000001000000}" name="SKU Code"/>
    <tableColumn id="2" xr3:uid="{00000000-0010-0000-0000-000002000000}" name="Product Name"/>
    <tableColumn id="3" xr3:uid="{00000000-0010-0000-0000-000003000000}" name="Location"/>
    <tableColumn id="4" xr3:uid="{00000000-0010-0000-0000-000004000000}" name="Category"/>
    <tableColumn id="5" xr3:uid="{00000000-0010-0000-0000-000005000000}" name="Month Plan (Ton)"/>
    <tableColumn id="6" xr3:uid="{00000000-0010-0000-0000-000006000000}" name="Total Production (Ton)"/>
    <tableColumn id="7" xr3:uid="{00000000-0010-0000-0000-000007000000}" name="Achievement %"/>
    <tableColumn id="8" xr3:uid="{00000000-0010-0000-0000-000008000000}" name="Remaining (Ton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"/>
  <sheetViews>
    <sheetView showGridLines="0" zoomScale="80" zoomScaleNormal="100" workbookViewId="0">
      <pane ySplit="2" topLeftCell="A45" activePane="bottomLeft" state="frozen"/>
      <selection pane="bottomLeft" activeCell="H21" sqref="H21"/>
    </sheetView>
  </sheetViews>
  <sheetFormatPr defaultColWidth="8.7109375" defaultRowHeight="15"/>
  <cols>
    <col min="1" max="1" width="32.28515625" bestFit="1" customWidth="1"/>
    <col min="2" max="2" width="55" bestFit="1" customWidth="1"/>
    <col min="3" max="3" width="24.28515625" bestFit="1" customWidth="1"/>
    <col min="4" max="4" width="16" customWidth="1"/>
    <col min="5" max="6" width="18" customWidth="1"/>
    <col min="7" max="7" width="19.28515625" customWidth="1"/>
    <col min="8" max="8" width="15" customWidth="1"/>
  </cols>
  <sheetData>
    <row r="1" spans="1:8" ht="19.5" customHeight="1">
      <c r="A1" s="67" t="s">
        <v>0</v>
      </c>
      <c r="B1" s="67"/>
      <c r="C1" s="67"/>
      <c r="D1" s="67"/>
      <c r="E1" s="67"/>
      <c r="F1" s="67"/>
      <c r="G1" s="67"/>
      <c r="H1" s="67"/>
    </row>
    <row r="2" spans="1:8" ht="3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5" customHeight="1">
      <c r="A3" s="4" t="s">
        <v>9</v>
      </c>
      <c r="B3" s="4" t="s">
        <v>10</v>
      </c>
      <c r="C3" s="5">
        <f>COUNTIF('Plant-wise Tracker'!$E$5:$E$125,A3)</f>
        <v>21</v>
      </c>
      <c r="D3" s="6">
        <f>SUMIFS('Plant-wise Tracker'!$L$5:$L$125,'Plant-wise Tracker'!$E$5:$E$125,A3)</f>
        <v>0</v>
      </c>
      <c r="E3" s="6">
        <f>SUMIFS('Plant-wise Tracker'!$AR$5:$AR$125,'Plant-wise Tracker'!$E$5:$E$125,A3)</f>
        <v>0</v>
      </c>
      <c r="F3" s="5">
        <f>SUMIFS('Plant-wise Tracker'!$AQ$5:$AQ$125,'Plant-wise Tracker'!$E$5:$E$125,A3)</f>
        <v>0</v>
      </c>
      <c r="G3" s="7">
        <f t="shared" ref="G3:G12" si="0">IFERROR(E3/D3,0)</f>
        <v>0</v>
      </c>
      <c r="H3" s="6">
        <f>SUMIFS('Plant-wise Tracker'!$AT$5:$AT$125,'Plant-wise Tracker'!$E$5:$E$125,A3)</f>
        <v>0</v>
      </c>
    </row>
    <row r="4" spans="1:8" ht="15" customHeight="1">
      <c r="A4" s="4" t="s">
        <v>11</v>
      </c>
      <c r="B4" s="4" t="s">
        <v>12</v>
      </c>
      <c r="C4" s="5">
        <f>COUNTIF('Plant-wise Tracker'!$E$5:$E$125,A4)</f>
        <v>21</v>
      </c>
      <c r="D4" s="6">
        <f>SUMIFS('Plant-wise Tracker'!$L$5:$L$125,'Plant-wise Tracker'!$E$5:$E$125,A4)</f>
        <v>0</v>
      </c>
      <c r="E4" s="6">
        <f>SUMIFS('Plant-wise Tracker'!$AR$5:$AR$125,'Plant-wise Tracker'!$E$5:$E$125,A4)</f>
        <v>0</v>
      </c>
      <c r="F4" s="5">
        <f>SUMIFS('Plant-wise Tracker'!$AQ$5:$AQ$125,'Plant-wise Tracker'!$E$5:$E$125,A4)</f>
        <v>0</v>
      </c>
      <c r="G4" s="7">
        <f t="shared" si="0"/>
        <v>0</v>
      </c>
      <c r="H4" s="6">
        <f>SUMIFS('Plant-wise Tracker'!$AT$5:$AT$125,'Plant-wise Tracker'!$E$5:$E$125,A4)</f>
        <v>0</v>
      </c>
    </row>
    <row r="5" spans="1:8" ht="15" customHeight="1">
      <c r="A5" s="4" t="s">
        <v>13</v>
      </c>
      <c r="B5" s="4" t="s">
        <v>14</v>
      </c>
      <c r="C5" s="5">
        <f>COUNTIF('Plant-wise Tracker'!$E$5:$E$125,A5)</f>
        <v>21</v>
      </c>
      <c r="D5" s="6">
        <f>SUMIFS('Plant-wise Tracker'!$L$5:$L$125,'Plant-wise Tracker'!$E$5:$E$125,A5)</f>
        <v>0</v>
      </c>
      <c r="E5" s="6">
        <f>SUMIFS('Plant-wise Tracker'!$AR$5:$AR$125,'Plant-wise Tracker'!$E$5:$E$125,A5)</f>
        <v>0</v>
      </c>
      <c r="F5" s="5">
        <f>SUMIFS('Plant-wise Tracker'!$AQ$5:$AQ$125,'Plant-wise Tracker'!$E$5:$E$125,A5)</f>
        <v>0</v>
      </c>
      <c r="G5" s="7">
        <f t="shared" si="0"/>
        <v>0</v>
      </c>
      <c r="H5" s="6">
        <f>SUMIFS('Plant-wise Tracker'!$AT$5:$AT$125,'Plant-wise Tracker'!$E$5:$E$125,A5)</f>
        <v>0</v>
      </c>
    </row>
    <row r="6" spans="1:8" ht="15" customHeight="1">
      <c r="A6" s="4" t="s">
        <v>15</v>
      </c>
      <c r="B6" s="4" t="s">
        <v>16</v>
      </c>
      <c r="C6" s="5">
        <f>COUNTIF('Plant-wise Tracker'!$E$5:$E$125,A6)</f>
        <v>21</v>
      </c>
      <c r="D6" s="6">
        <f>SUMIFS('Plant-wise Tracker'!$L$5:$L$125,'Plant-wise Tracker'!$E$5:$E$125,A6)</f>
        <v>0</v>
      </c>
      <c r="E6" s="6">
        <f>SUMIFS('Plant-wise Tracker'!$AR$5:$AR$125,'Plant-wise Tracker'!$E$5:$E$125,A6)</f>
        <v>0</v>
      </c>
      <c r="F6" s="5">
        <f>SUMIFS('Plant-wise Tracker'!$AQ$5:$AQ$125,'Plant-wise Tracker'!$E$5:$E$125,A6)</f>
        <v>0</v>
      </c>
      <c r="G6" s="7">
        <f t="shared" si="0"/>
        <v>0</v>
      </c>
      <c r="H6" s="6">
        <f>SUMIFS('Plant-wise Tracker'!$AT$5:$AT$125,'Plant-wise Tracker'!$E$5:$E$125,A6)</f>
        <v>0</v>
      </c>
    </row>
    <row r="7" spans="1:8" ht="15" customHeight="1">
      <c r="A7" s="4" t="s">
        <v>17</v>
      </c>
      <c r="B7" s="4" t="s">
        <v>18</v>
      </c>
      <c r="C7" s="5">
        <f>COUNTIF('Plant-wise Tracker'!$E$5:$E$125,A7)</f>
        <v>2</v>
      </c>
      <c r="D7" s="6">
        <f>SUMIFS('Plant-wise Tracker'!$L$5:$L$125,'Plant-wise Tracker'!$E$5:$E$125,A7)</f>
        <v>0</v>
      </c>
      <c r="E7" s="6">
        <f>SUMIFS('Plant-wise Tracker'!$AR$5:$AR$125,'Plant-wise Tracker'!$E$5:$E$125,A7)</f>
        <v>0</v>
      </c>
      <c r="F7" s="5">
        <f>SUMIFS('Plant-wise Tracker'!$AQ$5:$AQ$125,'Plant-wise Tracker'!$E$5:$E$125,A7)</f>
        <v>0</v>
      </c>
      <c r="G7" s="7">
        <f t="shared" si="0"/>
        <v>0</v>
      </c>
      <c r="H7" s="6">
        <f>SUMIFS('Plant-wise Tracker'!$AT$5:$AT$125,'Plant-wise Tracker'!$E$5:$E$125,A7)</f>
        <v>0</v>
      </c>
    </row>
    <row r="8" spans="1:8" ht="15" customHeight="1">
      <c r="A8" s="4" t="s">
        <v>19</v>
      </c>
      <c r="B8" s="4" t="s">
        <v>20</v>
      </c>
      <c r="C8" s="5">
        <v>2</v>
      </c>
      <c r="D8" s="6"/>
      <c r="E8" s="6">
        <f>SUMIFS('Plant-wise Tracker'!$AR$5:$AR$125,'Plant-wise Tracker'!$E$5:$E$125,A8)</f>
        <v>0</v>
      </c>
      <c r="F8" s="5">
        <f>SUMIFS('Plant-wise Tracker'!$AQ$5:$AQ$125,'Plant-wise Tracker'!$E$5:$E$125,A8)</f>
        <v>0</v>
      </c>
      <c r="G8" s="7">
        <f t="shared" si="0"/>
        <v>0</v>
      </c>
      <c r="H8" s="6">
        <f>SUMIFS('Plant-wise Tracker'!$AT$5:$AT$125,'Plant-wise Tracker'!$E$5:$E$125,A8)</f>
        <v>12</v>
      </c>
    </row>
    <row r="9" spans="1:8" ht="15" customHeight="1">
      <c r="A9" s="4" t="s">
        <v>21</v>
      </c>
      <c r="B9" s="4" t="s">
        <v>22</v>
      </c>
      <c r="C9" s="5">
        <f>COUNTIF('Plant-wise Tracker'!$E$5:$E$125,A9)</f>
        <v>2</v>
      </c>
      <c r="D9" s="6">
        <f>SUMIFS('Plant-wise Tracker'!$L$5:$L$125,'Plant-wise Tracker'!$E$5:$E$125,A9)</f>
        <v>0</v>
      </c>
      <c r="E9" s="6">
        <f>SUMIFS('Plant-wise Tracker'!$AR$5:$AR$125,'Plant-wise Tracker'!$E$5:$E$125,A9)</f>
        <v>0</v>
      </c>
      <c r="F9" s="5">
        <f>SUMIFS('Plant-wise Tracker'!$AQ$5:$AQ$125,'Plant-wise Tracker'!$E$5:$E$125,A9)</f>
        <v>0</v>
      </c>
      <c r="G9" s="7">
        <f t="shared" si="0"/>
        <v>0</v>
      </c>
      <c r="H9" s="6">
        <f>SUMIFS('Plant-wise Tracker'!$AT$5:$AT$125,'Plant-wise Tracker'!$E$5:$E$125,A9)</f>
        <v>0</v>
      </c>
    </row>
    <row r="10" spans="1:8" ht="15" customHeight="1">
      <c r="A10" s="4" t="s">
        <v>23</v>
      </c>
      <c r="B10" s="4" t="s">
        <v>24</v>
      </c>
      <c r="C10" s="5">
        <f>COUNTIF('Plant-wise Tracker'!$E$5:$E$125,A10)</f>
        <v>19</v>
      </c>
      <c r="D10" s="6">
        <f>SUMIFS('Plant-wise Tracker'!$L$5:$L$125,'Plant-wise Tracker'!$E$5:$E$125,A10)</f>
        <v>0</v>
      </c>
      <c r="E10" s="6">
        <f>SUMIFS('Plant-wise Tracker'!$AR$5:$AR$125,'Plant-wise Tracker'!$E$5:$E$125,A10)</f>
        <v>0</v>
      </c>
      <c r="F10" s="5">
        <f>SUMIFS('Plant-wise Tracker'!$AQ$5:$AQ$125,'Plant-wise Tracker'!$E$5:$E$125,A10)</f>
        <v>0</v>
      </c>
      <c r="G10" s="7">
        <f t="shared" si="0"/>
        <v>0</v>
      </c>
      <c r="H10" s="6">
        <f>SUMIFS('Plant-wise Tracker'!$AT$5:$AT$125,'Plant-wise Tracker'!$E$5:$E$125,A10)</f>
        <v>0</v>
      </c>
    </row>
    <row r="11" spans="1:8" ht="15" customHeight="1">
      <c r="A11" s="4" t="s">
        <v>25</v>
      </c>
      <c r="B11" s="4" t="s">
        <v>26</v>
      </c>
      <c r="C11" s="5">
        <f>COUNTIF('Plant-wise Tracker'!$E$5:$E$125,A11)</f>
        <v>2</v>
      </c>
      <c r="D11" s="6">
        <f>SUMIFS('Plant-wise Tracker'!$L$5:$L$125,'Plant-wise Tracker'!$E$5:$E$125,A11)</f>
        <v>0</v>
      </c>
      <c r="E11" s="6">
        <f>SUMIFS('Plant-wise Tracker'!$AR$5:$AR$125,'Plant-wise Tracker'!$E$5:$E$125,A11)</f>
        <v>0</v>
      </c>
      <c r="F11" s="5">
        <f>SUMIFS('Plant-wise Tracker'!$AQ$5:$AQ$125,'Plant-wise Tracker'!$E$5:$E$125,A11)</f>
        <v>0</v>
      </c>
      <c r="G11" s="7">
        <f t="shared" si="0"/>
        <v>0</v>
      </c>
      <c r="H11" s="6">
        <f>SUMIFS('Plant-wise Tracker'!$AT$5:$AT$125,'Plant-wise Tracker'!$E$5:$E$125,A11)</f>
        <v>0</v>
      </c>
    </row>
    <row r="12" spans="1:8" ht="15" customHeight="1">
      <c r="A12" s="8" t="s">
        <v>27</v>
      </c>
      <c r="B12" s="8"/>
      <c r="C12" s="9">
        <f>SUM(C3:C11)</f>
        <v>111</v>
      </c>
      <c r="D12" s="10">
        <f>SUM(D3:D11)</f>
        <v>0</v>
      </c>
      <c r="E12" s="10">
        <f>SUM(E3:E11)</f>
        <v>0</v>
      </c>
      <c r="F12" s="9">
        <f>SUM(F3:F11)</f>
        <v>0</v>
      </c>
      <c r="G12" s="11">
        <f t="shared" si="0"/>
        <v>0</v>
      </c>
      <c r="H12" s="10" t="s">
        <v>123</v>
      </c>
    </row>
    <row r="15" spans="1:8" ht="15" customHeight="1">
      <c r="A15" s="12" t="s">
        <v>28</v>
      </c>
    </row>
    <row r="16" spans="1:8" ht="15" customHeight="1">
      <c r="A16" s="13" t="s">
        <v>29</v>
      </c>
      <c r="B16" s="13" t="s">
        <v>4</v>
      </c>
      <c r="C16" s="13" t="s">
        <v>5</v>
      </c>
      <c r="D16" s="13" t="s">
        <v>7</v>
      </c>
    </row>
    <row r="17" spans="1:8" ht="15" customHeight="1">
      <c r="A17" s="4" t="s">
        <v>30</v>
      </c>
      <c r="B17" s="6">
        <f>SUMIFS('Master Data'!$L$3:$L$113,'Master Data'!$F$3:$F$113,A17)</f>
        <v>0</v>
      </c>
      <c r="C17" s="6">
        <f>SUMIFS('Master Data'!$AS$3:$AS$113,'Master Data'!$F$3:$F$113,A17)</f>
        <v>0</v>
      </c>
      <c r="D17" s="7">
        <f>IFERROR(C17/B17,0)</f>
        <v>0</v>
      </c>
    </row>
    <row r="18" spans="1:8" ht="15" customHeight="1">
      <c r="A18" s="4" t="s">
        <v>31</v>
      </c>
      <c r="B18" s="6">
        <f>SUMIFS('Master Data'!$L$3:$L$113,'Master Data'!$F$3:$F$113,A18)</f>
        <v>0</v>
      </c>
      <c r="C18" s="6">
        <f>SUMIFS('Master Data'!$AS$3:$AS$113,'Master Data'!$F$3:$F$113,A18)</f>
        <v>0</v>
      </c>
      <c r="D18" s="7">
        <f>IFERROR(C18/B18,0)</f>
        <v>0</v>
      </c>
    </row>
    <row r="21" spans="1:8">
      <c r="H21" t="s">
        <v>124</v>
      </c>
    </row>
    <row r="41" spans="1:8" ht="15" customHeight="1">
      <c r="A41" s="12" t="s">
        <v>32</v>
      </c>
    </row>
    <row r="42" spans="1:8" ht="27.75" customHeight="1">
      <c r="A42" s="14" t="s">
        <v>33</v>
      </c>
      <c r="B42" s="14" t="s">
        <v>34</v>
      </c>
      <c r="C42" s="14" t="s">
        <v>35</v>
      </c>
      <c r="D42" s="14" t="s">
        <v>29</v>
      </c>
      <c r="E42" s="14" t="s">
        <v>4</v>
      </c>
      <c r="F42" s="14" t="s">
        <v>5</v>
      </c>
      <c r="G42" s="14" t="s">
        <v>7</v>
      </c>
      <c r="H42" s="14" t="s">
        <v>8</v>
      </c>
    </row>
    <row r="43" spans="1:8" ht="15" customHeight="1">
      <c r="A43" s="15" t="str">
        <f>'Master Data'!G3</f>
        <v>ROZ39494</v>
      </c>
      <c r="B43" s="15" t="str">
        <f>'Master Data'!H3</f>
        <v>Samuh Milky Biscuit 35 g</v>
      </c>
      <c r="C43" s="15" t="str">
        <f>'Master Data'!E3</f>
        <v>Lucknow</v>
      </c>
      <c r="D43" s="15" t="str">
        <f>'Master Data'!F3</f>
        <v>Biscuits</v>
      </c>
      <c r="E43" s="16">
        <f>'Master Data'!L3</f>
        <v>0</v>
      </c>
      <c r="F43" s="16">
        <f>'Master Data'!AS3</f>
        <v>0</v>
      </c>
      <c r="G43" s="17">
        <f>IFERROR('Master Data'!AT3,0)</f>
        <v>0</v>
      </c>
      <c r="H43" s="16">
        <f>'Master Data'!AU3</f>
        <v>0</v>
      </c>
    </row>
    <row r="44" spans="1:8" ht="15" customHeight="1">
      <c r="A44" s="15" t="str">
        <f>'Master Data'!G4</f>
        <v>ROZ23739</v>
      </c>
      <c r="B44" s="15" t="str">
        <f>'Master Data'!H4</f>
        <v>Samuh Beat it! Bite it! Orange Cream Biscuit 35 g</v>
      </c>
      <c r="C44" s="15" t="str">
        <f>'Master Data'!E4</f>
        <v>Lucknow</v>
      </c>
      <c r="D44" s="15" t="str">
        <f>'Master Data'!F4</f>
        <v>Biscuits</v>
      </c>
      <c r="E44" s="16">
        <f>'Master Data'!L4</f>
        <v>0</v>
      </c>
      <c r="F44" s="16">
        <f>'Master Data'!AS4</f>
        <v>0</v>
      </c>
      <c r="G44" s="17">
        <f>IFERROR('Master Data'!AT4,0)</f>
        <v>0</v>
      </c>
      <c r="H44" s="16">
        <f>'Master Data'!AU4</f>
        <v>0</v>
      </c>
    </row>
    <row r="45" spans="1:8" ht="15" customHeight="1">
      <c r="A45" s="15" t="str">
        <f>'Master Data'!G5</f>
        <v>ROZ23738</v>
      </c>
      <c r="B45" s="15" t="str">
        <f>'Master Data'!H5</f>
        <v>Samuh Beat it Bite it Chocolate Cream Biscuit 35 g</v>
      </c>
      <c r="C45" s="15" t="str">
        <f>'Master Data'!E5</f>
        <v>Lucknow</v>
      </c>
      <c r="D45" s="15" t="str">
        <f>'Master Data'!F5</f>
        <v>Biscuits</v>
      </c>
      <c r="E45" s="16">
        <f>'Master Data'!L5</f>
        <v>0</v>
      </c>
      <c r="F45" s="16">
        <f>'Master Data'!AS5</f>
        <v>0</v>
      </c>
      <c r="G45" s="17">
        <f>IFERROR('Master Data'!AT5,0)</f>
        <v>0</v>
      </c>
      <c r="H45" s="16">
        <f>'Master Data'!AU5</f>
        <v>0</v>
      </c>
    </row>
    <row r="46" spans="1:8" ht="15" customHeight="1">
      <c r="A46" s="15" t="str">
        <f>'Master Data'!G6</f>
        <v>ROZ23743</v>
      </c>
      <c r="B46" s="15" t="str">
        <f>'Master Data'!H6</f>
        <v>Samuh Butter Cookies Biscuit 32 g</v>
      </c>
      <c r="C46" s="15" t="str">
        <f>'Master Data'!E6</f>
        <v>Lucknow</v>
      </c>
      <c r="D46" s="15" t="str">
        <f>'Master Data'!F6</f>
        <v>Biscuits</v>
      </c>
      <c r="E46" s="16">
        <f>'Master Data'!L6</f>
        <v>0</v>
      </c>
      <c r="F46" s="16">
        <f>'Master Data'!AS6</f>
        <v>0</v>
      </c>
      <c r="G46" s="17">
        <f>IFERROR('Master Data'!AT6,0)</f>
        <v>0</v>
      </c>
      <c r="H46" s="16">
        <f>'Master Data'!AU6</f>
        <v>0</v>
      </c>
    </row>
    <row r="47" spans="1:8" ht="15" customHeight="1">
      <c r="A47" s="15" t="str">
        <f>'Master Data'!G7</f>
        <v>ROZ23740</v>
      </c>
      <c r="B47" s="15" t="str">
        <f>'Master Data'!H7</f>
        <v>Samuh Zeera Biscuit 35 g</v>
      </c>
      <c r="C47" s="15" t="str">
        <f>'Master Data'!E7</f>
        <v>Lucknow</v>
      </c>
      <c r="D47" s="15" t="str">
        <f>'Master Data'!F7</f>
        <v>Biscuits</v>
      </c>
      <c r="E47" s="16">
        <f>'Master Data'!L7</f>
        <v>0</v>
      </c>
      <c r="F47" s="16">
        <f>'Master Data'!AS7</f>
        <v>0</v>
      </c>
      <c r="G47" s="17">
        <f>IFERROR('Master Data'!AT7,0)</f>
        <v>0</v>
      </c>
      <c r="H47" s="16">
        <f>'Master Data'!AU7</f>
        <v>0</v>
      </c>
    </row>
    <row r="48" spans="1:8" ht="15" customHeight="1">
      <c r="A48" s="15" t="str">
        <f>'Master Data'!G8</f>
        <v>ROZ23741</v>
      </c>
      <c r="B48" s="15" t="str">
        <f>'Master Data'!H8</f>
        <v>Samuh Coconut Cookies Biscuit 35 g</v>
      </c>
      <c r="C48" s="15" t="str">
        <f>'Master Data'!E8</f>
        <v>Lucknow</v>
      </c>
      <c r="D48" s="15" t="str">
        <f>'Master Data'!F8</f>
        <v>Biscuits</v>
      </c>
      <c r="E48" s="16">
        <f>'Master Data'!L8</f>
        <v>0</v>
      </c>
      <c r="F48" s="16">
        <f>'Master Data'!AS8</f>
        <v>0</v>
      </c>
      <c r="G48" s="17">
        <f>IFERROR('Master Data'!AT8,0)</f>
        <v>0</v>
      </c>
      <c r="H48" s="16">
        <f>'Master Data'!AU8</f>
        <v>0</v>
      </c>
    </row>
    <row r="49" spans="1:8" ht="15" customHeight="1">
      <c r="A49" s="15" t="str">
        <f>'Master Data'!G9</f>
        <v>ROZ23742</v>
      </c>
      <c r="B49" s="15" t="str">
        <f>'Master Data'!H9</f>
        <v>Samuh Salty Sweety Biscuit 32 g</v>
      </c>
      <c r="C49" s="15" t="str">
        <f>'Master Data'!E9</f>
        <v>Lucknow</v>
      </c>
      <c r="D49" s="15" t="str">
        <f>'Master Data'!F9</f>
        <v>Biscuits</v>
      </c>
      <c r="E49" s="16">
        <f>'Master Data'!L9</f>
        <v>0</v>
      </c>
      <c r="F49" s="16">
        <f>'Master Data'!AS9</f>
        <v>0</v>
      </c>
      <c r="G49" s="17">
        <f>IFERROR('Master Data'!AT9,0)</f>
        <v>0</v>
      </c>
      <c r="H49" s="16">
        <f>'Master Data'!AU9</f>
        <v>0</v>
      </c>
    </row>
    <row r="50" spans="1:8" ht="15" customHeight="1">
      <c r="A50" s="15" t="str">
        <f>'Master Data'!G10</f>
        <v>ROZ36954</v>
      </c>
      <c r="B50" s="15" t="str">
        <f>'Master Data'!H10</f>
        <v>Samuh Butter Cashew 30 g</v>
      </c>
      <c r="C50" s="15" t="str">
        <f>'Master Data'!E10</f>
        <v>Lucknow</v>
      </c>
      <c r="D50" s="15" t="str">
        <f>'Master Data'!F10</f>
        <v>Biscuits</v>
      </c>
      <c r="E50" s="16">
        <f>'Master Data'!L10</f>
        <v>0</v>
      </c>
      <c r="F50" s="16">
        <f>'Master Data'!AS10</f>
        <v>0</v>
      </c>
      <c r="G50" s="17">
        <f>IFERROR('Master Data'!AT10,0)</f>
        <v>0</v>
      </c>
      <c r="H50" s="16">
        <f>'Master Data'!AU10</f>
        <v>0</v>
      </c>
    </row>
    <row r="51" spans="1:8" ht="15" customHeight="1">
      <c r="A51" s="15" t="str">
        <f>'Master Data'!G11</f>
        <v>ROZ36955</v>
      </c>
      <c r="B51" s="15" t="str">
        <f>'Master Data'!H11</f>
        <v>Samuh Beat it Bite it Chocolate Cream Biscuit 70 g</v>
      </c>
      <c r="C51" s="15" t="str">
        <f>'Master Data'!E11</f>
        <v>Lucknow</v>
      </c>
      <c r="D51" s="15" t="str">
        <f>'Master Data'!F11</f>
        <v>Biscuits</v>
      </c>
      <c r="E51" s="16">
        <f>'Master Data'!L11</f>
        <v>0</v>
      </c>
      <c r="F51" s="16">
        <f>'Master Data'!AS11</f>
        <v>0</v>
      </c>
      <c r="G51" s="17">
        <f>IFERROR('Master Data'!AT11,0)</f>
        <v>0</v>
      </c>
      <c r="H51" s="16">
        <f>'Master Data'!AU11</f>
        <v>0</v>
      </c>
    </row>
    <row r="52" spans="1:8" ht="15" customHeight="1">
      <c r="A52" s="15" t="str">
        <f>'Master Data'!G12</f>
        <v>ROZ36956</v>
      </c>
      <c r="B52" s="15" t="str">
        <f>'Master Data'!H12</f>
        <v>Samuh Beat it! Bite it! Orange Cream Biscuit 70 g</v>
      </c>
      <c r="C52" s="15" t="str">
        <f>'Master Data'!E12</f>
        <v>Lucknow</v>
      </c>
      <c r="D52" s="15" t="str">
        <f>'Master Data'!F12</f>
        <v>Biscuits</v>
      </c>
      <c r="E52" s="16">
        <f>'Master Data'!L12</f>
        <v>0</v>
      </c>
      <c r="F52" s="16">
        <f>'Master Data'!AS12</f>
        <v>0</v>
      </c>
      <c r="G52" s="17">
        <f>IFERROR('Master Data'!AT12,0)</f>
        <v>0</v>
      </c>
      <c r="H52" s="16">
        <f>'Master Data'!AU12</f>
        <v>0</v>
      </c>
    </row>
    <row r="53" spans="1:8" ht="15" customHeight="1">
      <c r="A53" s="15" t="str">
        <f>'Master Data'!G13</f>
        <v>ROZ36957</v>
      </c>
      <c r="B53" s="15" t="str">
        <f>'Master Data'!H13</f>
        <v>Samuh Coconut Cookies Biscuit 70g</v>
      </c>
      <c r="C53" s="15" t="str">
        <f>'Master Data'!E13</f>
        <v>Lucknow</v>
      </c>
      <c r="D53" s="15" t="str">
        <f>'Master Data'!F13</f>
        <v>Biscuits</v>
      </c>
      <c r="E53" s="16">
        <f>'Master Data'!L13</f>
        <v>0</v>
      </c>
      <c r="F53" s="16">
        <f>'Master Data'!AS13</f>
        <v>0</v>
      </c>
      <c r="G53" s="17">
        <f>IFERROR('Master Data'!AT13,0)</f>
        <v>0</v>
      </c>
      <c r="H53" s="16">
        <f>'Master Data'!AU13</f>
        <v>0</v>
      </c>
    </row>
    <row r="54" spans="1:8" ht="15" customHeight="1">
      <c r="A54" s="15" t="str">
        <f>'Master Data'!G14</f>
        <v>ROZ39495</v>
      </c>
      <c r="B54" s="15" t="str">
        <f>'Master Data'!H14</f>
        <v>Samuh Milky Biscuit 70 g</v>
      </c>
      <c r="C54" s="15" t="str">
        <f>'Master Data'!E14</f>
        <v>Lucknow</v>
      </c>
      <c r="D54" s="15" t="str">
        <f>'Master Data'!F14</f>
        <v>Biscuits</v>
      </c>
      <c r="E54" s="16">
        <f>'Master Data'!L14</f>
        <v>0</v>
      </c>
      <c r="F54" s="16">
        <f>'Master Data'!AS14</f>
        <v>0</v>
      </c>
      <c r="G54" s="17">
        <f>IFERROR('Master Data'!AT14,0)</f>
        <v>0</v>
      </c>
      <c r="H54" s="16">
        <f>'Master Data'!AU14</f>
        <v>0</v>
      </c>
    </row>
    <row r="55" spans="1:8" ht="15" customHeight="1">
      <c r="A55" s="15" t="str">
        <f>'Master Data'!G15</f>
        <v>ROZ36959</v>
      </c>
      <c r="B55" s="15" t="str">
        <f>'Master Data'!H15</f>
        <v>Samuh Salty Sweety Biscuit 65 g</v>
      </c>
      <c r="C55" s="15" t="str">
        <f>'Master Data'!E15</f>
        <v>Lucknow</v>
      </c>
      <c r="D55" s="15" t="str">
        <f>'Master Data'!F15</f>
        <v>Biscuits</v>
      </c>
      <c r="E55" s="16">
        <f>'Master Data'!L15</f>
        <v>0</v>
      </c>
      <c r="F55" s="16">
        <f>'Master Data'!AS15</f>
        <v>0</v>
      </c>
      <c r="G55" s="17">
        <f>IFERROR('Master Data'!AT15,0)</f>
        <v>0</v>
      </c>
      <c r="H55" s="16">
        <f>'Master Data'!AU15</f>
        <v>0</v>
      </c>
    </row>
    <row r="56" spans="1:8" ht="15" customHeight="1">
      <c r="A56" s="15" t="str">
        <f>'Master Data'!G16</f>
        <v>ROZ36958</v>
      </c>
      <c r="B56" s="15" t="str">
        <f>'Master Data'!H16</f>
        <v>Samuh Butter Cookies Biscuit 65g</v>
      </c>
      <c r="C56" s="15" t="str">
        <f>'Master Data'!E16</f>
        <v>Lucknow</v>
      </c>
      <c r="D56" s="15" t="str">
        <f>'Master Data'!F16</f>
        <v>Biscuits</v>
      </c>
      <c r="E56" s="16">
        <f>'Master Data'!L16</f>
        <v>0</v>
      </c>
      <c r="F56" s="16">
        <f>'Master Data'!AS16</f>
        <v>0</v>
      </c>
      <c r="G56" s="17">
        <f>IFERROR('Master Data'!AT16,0)</f>
        <v>0</v>
      </c>
      <c r="H56" s="16">
        <f>'Master Data'!AU16</f>
        <v>0</v>
      </c>
    </row>
    <row r="57" spans="1:8" ht="15" customHeight="1">
      <c r="A57" s="15" t="str">
        <f>'Master Data'!G17</f>
        <v>ROZ36962</v>
      </c>
      <c r="B57" s="15" t="str">
        <f>'Master Data'!H17</f>
        <v>Samuh Marie Biscuit 75g</v>
      </c>
      <c r="C57" s="15" t="str">
        <f>'Master Data'!E17</f>
        <v>Lucknow</v>
      </c>
      <c r="D57" s="15" t="str">
        <f>'Master Data'!F17</f>
        <v>Biscuits</v>
      </c>
      <c r="E57" s="16">
        <f>'Master Data'!L17</f>
        <v>0</v>
      </c>
      <c r="F57" s="16">
        <f>'Master Data'!AS17</f>
        <v>0</v>
      </c>
      <c r="G57" s="17">
        <f>IFERROR('Master Data'!AT17,0)</f>
        <v>0</v>
      </c>
      <c r="H57" s="16">
        <f>'Master Data'!AU17</f>
        <v>0</v>
      </c>
    </row>
    <row r="58" spans="1:8" ht="15" customHeight="1">
      <c r="A58" s="15" t="str">
        <f>'Master Data'!G18</f>
        <v>ROZ36961</v>
      </c>
      <c r="B58" s="15" t="str">
        <f>'Master Data'!H18</f>
        <v>Samuh Butter Kalonji Bliss 65g</v>
      </c>
      <c r="C58" s="15" t="str">
        <f>'Master Data'!E18</f>
        <v>Lucknow</v>
      </c>
      <c r="D58" s="15" t="str">
        <f>'Master Data'!F18</f>
        <v>Biscuits</v>
      </c>
      <c r="E58" s="16">
        <f>'Master Data'!L18</f>
        <v>0</v>
      </c>
      <c r="F58" s="16">
        <f>'Master Data'!AS18</f>
        <v>0</v>
      </c>
      <c r="G58" s="17">
        <f>IFERROR('Master Data'!AT18,0)</f>
        <v>0</v>
      </c>
      <c r="H58" s="16">
        <f>'Master Data'!AU18</f>
        <v>0</v>
      </c>
    </row>
    <row r="59" spans="1:8" ht="15" customHeight="1">
      <c r="A59" s="15" t="str">
        <f>'Master Data'!G19</f>
        <v>ROZ36960</v>
      </c>
      <c r="B59" s="15" t="str">
        <f>'Master Data'!H19</f>
        <v>Samuh Butter Cashew Biscuit 60g</v>
      </c>
      <c r="C59" s="15" t="str">
        <f>'Master Data'!E19</f>
        <v>Lucknow</v>
      </c>
      <c r="D59" s="15" t="str">
        <f>'Master Data'!F19</f>
        <v>Biscuits</v>
      </c>
      <c r="E59" s="16">
        <f>'Master Data'!L19</f>
        <v>0</v>
      </c>
      <c r="F59" s="16">
        <f>'Master Data'!AS19</f>
        <v>0</v>
      </c>
      <c r="G59" s="17">
        <f>IFERROR('Master Data'!AT19,0)</f>
        <v>0</v>
      </c>
      <c r="H59" s="16">
        <f>'Master Data'!AU19</f>
        <v>0</v>
      </c>
    </row>
    <row r="60" spans="1:8" ht="15" customHeight="1">
      <c r="A60" s="15" t="str">
        <f>'Master Data'!G20</f>
        <v>ROZ23760</v>
      </c>
      <c r="B60" s="15" t="str">
        <f>'Master Data'!H20</f>
        <v>Samuh Elaichi Rusk 130 g</v>
      </c>
      <c r="C60" s="15" t="str">
        <f>'Master Data'!E20</f>
        <v>Lucknow</v>
      </c>
      <c r="D60" s="15" t="str">
        <f>'Master Data'!F20</f>
        <v>Rusk</v>
      </c>
      <c r="E60" s="16">
        <f>'Master Data'!L20</f>
        <v>0</v>
      </c>
      <c r="F60" s="16">
        <f>'Master Data'!AS20</f>
        <v>0</v>
      </c>
      <c r="G60" s="17">
        <f>IFERROR('Master Data'!AT20,0)</f>
        <v>0</v>
      </c>
      <c r="H60" s="16">
        <f>'Master Data'!AU20</f>
        <v>0</v>
      </c>
    </row>
    <row r="61" spans="1:8" ht="15" customHeight="1">
      <c r="A61" s="15" t="str">
        <f>'Master Data'!G21</f>
        <v>ROZ23759</v>
      </c>
      <c r="B61" s="15" t="str">
        <f>'Master Data'!H21</f>
        <v>Samuh Elaichi Rusk 65 g</v>
      </c>
      <c r="C61" s="15" t="str">
        <f>'Master Data'!E21</f>
        <v>Lucknow</v>
      </c>
      <c r="D61" s="15" t="str">
        <f>'Master Data'!F21</f>
        <v>Rusk</v>
      </c>
      <c r="E61" s="16">
        <f>'Master Data'!L21</f>
        <v>0</v>
      </c>
      <c r="F61" s="16">
        <f>'Master Data'!AS21</f>
        <v>0</v>
      </c>
      <c r="G61" s="17">
        <f>IFERROR('Master Data'!AT21,0)</f>
        <v>0</v>
      </c>
      <c r="H61" s="16">
        <f>'Master Data'!AU21</f>
        <v>0</v>
      </c>
    </row>
    <row r="62" spans="1:8" ht="15" customHeight="1">
      <c r="A62" s="15" t="str">
        <f>'Master Data'!G22</f>
        <v>ROZ50020</v>
      </c>
      <c r="B62" s="15" t="str">
        <f>'Master Data'!H22</f>
        <v xml:space="preserve">Samuh Marie Biscuit 35 g	</v>
      </c>
      <c r="C62" s="15" t="str">
        <f>'Master Data'!E22</f>
        <v>Lucknow</v>
      </c>
      <c r="D62" s="15" t="str">
        <f>'Master Data'!F22</f>
        <v>Biscuits</v>
      </c>
      <c r="E62" s="16">
        <f>'Master Data'!L22</f>
        <v>0</v>
      </c>
      <c r="F62" s="16">
        <f>'Master Data'!AS22</f>
        <v>0</v>
      </c>
      <c r="G62" s="17">
        <f>IFERROR('Master Data'!AT22,0)</f>
        <v>0</v>
      </c>
      <c r="H62" s="16">
        <f>'Master Data'!AU22</f>
        <v>0</v>
      </c>
    </row>
    <row r="63" spans="1:8" ht="15" customHeight="1">
      <c r="A63" s="58">
        <f>'Master Data'!G23</f>
        <v>1</v>
      </c>
      <c r="B63" s="15" t="str">
        <f>'Master Data'!H23</f>
        <v>Marie 30 Rs</v>
      </c>
      <c r="C63" s="15" t="str">
        <f>'Master Data'!E23</f>
        <v>Lucknow</v>
      </c>
      <c r="D63" s="15" t="str">
        <f>'Master Data'!F23</f>
        <v>Biscuits</v>
      </c>
      <c r="E63" s="16">
        <f>'Master Data'!L23</f>
        <v>0</v>
      </c>
      <c r="F63" s="16">
        <f>'Master Data'!AS23</f>
        <v>0</v>
      </c>
      <c r="G63" s="17">
        <f>IFERROR('Master Data'!AT23,0)</f>
        <v>0</v>
      </c>
      <c r="H63" s="16">
        <f>'Master Data'!AU23</f>
        <v>0</v>
      </c>
    </row>
    <row r="64" spans="1:8" ht="15" customHeight="1">
      <c r="A64" s="15" t="str">
        <f>'Master Data'!G24</f>
        <v>ROZ39494</v>
      </c>
      <c r="B64" s="15" t="str">
        <f>'Master Data'!H24</f>
        <v>Samuh Milky Biscuit 35 g</v>
      </c>
      <c r="C64" s="15" t="str">
        <f>'Master Data'!E24</f>
        <v>Rudrapur</v>
      </c>
      <c r="D64" s="15" t="str">
        <f>'Master Data'!F24</f>
        <v>Biscuits</v>
      </c>
      <c r="E64" s="16">
        <f>'Master Data'!L24</f>
        <v>0</v>
      </c>
      <c r="F64" s="16">
        <f>'Master Data'!AS24</f>
        <v>0</v>
      </c>
      <c r="G64" s="17">
        <f>IFERROR('Master Data'!AT24,0)</f>
        <v>0</v>
      </c>
      <c r="H64" s="16">
        <f>'Master Data'!AU24</f>
        <v>0</v>
      </c>
    </row>
    <row r="65" spans="1:8" ht="15" customHeight="1">
      <c r="A65" s="15" t="str">
        <f>'Master Data'!G25</f>
        <v>ROZ23739</v>
      </c>
      <c r="B65" s="15" t="str">
        <f>'Master Data'!H25</f>
        <v>Samuh Beat it! Bite it! Orange Cream Biscuit 35 g</v>
      </c>
      <c r="C65" s="15" t="str">
        <f>'Master Data'!E25</f>
        <v>Rudrapur</v>
      </c>
      <c r="D65" s="15" t="str">
        <f>'Master Data'!F25</f>
        <v>Biscuits</v>
      </c>
      <c r="E65" s="16">
        <f>'Master Data'!L25</f>
        <v>0</v>
      </c>
      <c r="F65" s="16">
        <f>'Master Data'!AS25</f>
        <v>0</v>
      </c>
      <c r="G65" s="17">
        <f>IFERROR('Master Data'!AT25,0)</f>
        <v>0</v>
      </c>
      <c r="H65" s="16">
        <f>'Master Data'!AU25</f>
        <v>0</v>
      </c>
    </row>
    <row r="66" spans="1:8" ht="15" customHeight="1">
      <c r="A66" s="15" t="str">
        <f>'Master Data'!G26</f>
        <v>ROZ23738</v>
      </c>
      <c r="B66" s="15" t="str">
        <f>'Master Data'!H26</f>
        <v>Samuh Beat it Bite it Chocolate Cream Biscuit 35 g</v>
      </c>
      <c r="C66" s="15" t="str">
        <f>'Master Data'!E26</f>
        <v>Rudrapur</v>
      </c>
      <c r="D66" s="15" t="str">
        <f>'Master Data'!F26</f>
        <v>Biscuits</v>
      </c>
      <c r="E66" s="16">
        <f>'Master Data'!L26</f>
        <v>0</v>
      </c>
      <c r="F66" s="16">
        <f>'Master Data'!AS26</f>
        <v>0</v>
      </c>
      <c r="G66" s="17">
        <f>IFERROR('Master Data'!AT26,0)</f>
        <v>0</v>
      </c>
      <c r="H66" s="16">
        <f>'Master Data'!AU26</f>
        <v>0</v>
      </c>
    </row>
    <row r="67" spans="1:8" ht="15" customHeight="1">
      <c r="A67" s="15" t="str">
        <f>'Master Data'!G27</f>
        <v>ROZ23743</v>
      </c>
      <c r="B67" s="15" t="str">
        <f>'Master Data'!H27</f>
        <v>Samuh Butter Cookies Biscuit 32 g</v>
      </c>
      <c r="C67" s="15" t="str">
        <f>'Master Data'!E27</f>
        <v>Rudrapur</v>
      </c>
      <c r="D67" s="15" t="str">
        <f>'Master Data'!F27</f>
        <v>Biscuits</v>
      </c>
      <c r="E67" s="16">
        <f>'Master Data'!L27</f>
        <v>0</v>
      </c>
      <c r="F67" s="16">
        <f>'Master Data'!AS27</f>
        <v>0</v>
      </c>
      <c r="G67" s="17">
        <f>IFERROR('Master Data'!AT27,0)</f>
        <v>0</v>
      </c>
      <c r="H67" s="16">
        <f>'Master Data'!AU27</f>
        <v>0</v>
      </c>
    </row>
    <row r="68" spans="1:8" ht="15" customHeight="1">
      <c r="A68" s="15" t="str">
        <f>'Master Data'!G28</f>
        <v>ROZ23740</v>
      </c>
      <c r="B68" s="15" t="str">
        <f>'Master Data'!H28</f>
        <v>Samuh Zeera Biscuit 35 g</v>
      </c>
      <c r="C68" s="15" t="str">
        <f>'Master Data'!E28</f>
        <v>Rudrapur</v>
      </c>
      <c r="D68" s="15" t="str">
        <f>'Master Data'!F28</f>
        <v>Biscuits</v>
      </c>
      <c r="E68" s="16">
        <f>'Master Data'!L28</f>
        <v>0</v>
      </c>
      <c r="F68" s="16">
        <f>'Master Data'!AS28</f>
        <v>0</v>
      </c>
      <c r="G68" s="17">
        <f>IFERROR('Master Data'!AT28,0)</f>
        <v>0</v>
      </c>
      <c r="H68" s="16">
        <f>'Master Data'!AU28</f>
        <v>0</v>
      </c>
    </row>
    <row r="69" spans="1:8" ht="15" customHeight="1">
      <c r="A69" s="15" t="str">
        <f>'Master Data'!G29</f>
        <v>ROZ23741</v>
      </c>
      <c r="B69" s="15" t="str">
        <f>'Master Data'!H29</f>
        <v>Samuh Coconut Cookies Biscuit 35 g</v>
      </c>
      <c r="C69" s="15" t="str">
        <f>'Master Data'!E29</f>
        <v>Rudrapur</v>
      </c>
      <c r="D69" s="15" t="str">
        <f>'Master Data'!F29</f>
        <v>Biscuits</v>
      </c>
      <c r="E69" s="16">
        <f>'Master Data'!L29</f>
        <v>0</v>
      </c>
      <c r="F69" s="16">
        <f>'Master Data'!AS29</f>
        <v>0</v>
      </c>
      <c r="G69" s="17">
        <f>IFERROR('Master Data'!AT29,0)</f>
        <v>0</v>
      </c>
      <c r="H69" s="16">
        <f>'Master Data'!AU29</f>
        <v>0</v>
      </c>
    </row>
    <row r="70" spans="1:8" ht="15" customHeight="1">
      <c r="A70" s="15" t="str">
        <f>'Master Data'!G30</f>
        <v>ROZ23742</v>
      </c>
      <c r="B70" s="15" t="str">
        <f>'Master Data'!H30</f>
        <v>Samuh Salty Sweety Biscuit 32 g</v>
      </c>
      <c r="C70" s="15" t="str">
        <f>'Master Data'!E30</f>
        <v>Rudrapur</v>
      </c>
      <c r="D70" s="15" t="str">
        <f>'Master Data'!F30</f>
        <v>Biscuits</v>
      </c>
      <c r="E70" s="16">
        <f>'Master Data'!L30</f>
        <v>0</v>
      </c>
      <c r="F70" s="16">
        <f>'Master Data'!AS30</f>
        <v>0</v>
      </c>
      <c r="G70" s="17">
        <f>IFERROR('Master Data'!AT30,0)</f>
        <v>0</v>
      </c>
      <c r="H70" s="16">
        <f>'Master Data'!AU30</f>
        <v>0</v>
      </c>
    </row>
    <row r="71" spans="1:8" ht="15" customHeight="1">
      <c r="A71" s="15" t="str">
        <f>'Master Data'!G31</f>
        <v>ROZ36954</v>
      </c>
      <c r="B71" s="15" t="str">
        <f>'Master Data'!H31</f>
        <v>Samuh Butter Cashew 30 g</v>
      </c>
      <c r="C71" s="15" t="str">
        <f>'Master Data'!E31</f>
        <v>Rudrapur</v>
      </c>
      <c r="D71" s="15" t="str">
        <f>'Master Data'!F31</f>
        <v>Biscuits</v>
      </c>
      <c r="E71" s="16">
        <f>'Master Data'!L31</f>
        <v>0</v>
      </c>
      <c r="F71" s="16">
        <f>'Master Data'!AS31</f>
        <v>0</v>
      </c>
      <c r="G71" s="17">
        <f>IFERROR('Master Data'!AT31,0)</f>
        <v>0</v>
      </c>
      <c r="H71" s="16">
        <f>'Master Data'!AU31</f>
        <v>0</v>
      </c>
    </row>
    <row r="72" spans="1:8" ht="15" customHeight="1">
      <c r="A72" s="15" t="str">
        <f>'Master Data'!G32</f>
        <v>ROZ36955</v>
      </c>
      <c r="B72" s="15" t="str">
        <f>'Master Data'!H32</f>
        <v>Samuh Beat it Bite it Chocolate Cream Biscuit 70 g</v>
      </c>
      <c r="C72" s="15" t="str">
        <f>'Master Data'!E32</f>
        <v>Rudrapur</v>
      </c>
      <c r="D72" s="15" t="str">
        <f>'Master Data'!F32</f>
        <v>Biscuits</v>
      </c>
      <c r="E72" s="16">
        <f>'Master Data'!L32</f>
        <v>0</v>
      </c>
      <c r="F72" s="16">
        <f>'Master Data'!AS32</f>
        <v>0</v>
      </c>
      <c r="G72" s="17">
        <f>IFERROR('Master Data'!AT32,0)</f>
        <v>0</v>
      </c>
      <c r="H72" s="16">
        <f>'Master Data'!AU32</f>
        <v>0</v>
      </c>
    </row>
    <row r="73" spans="1:8" ht="15" customHeight="1">
      <c r="A73" s="15" t="str">
        <f>'Master Data'!G33</f>
        <v>ROZ36956</v>
      </c>
      <c r="B73" s="15" t="str">
        <f>'Master Data'!H33</f>
        <v>Samuh Beat it! Bite it! Orange Cream Biscuit 70 g</v>
      </c>
      <c r="C73" s="15" t="str">
        <f>'Master Data'!E33</f>
        <v>Rudrapur</v>
      </c>
      <c r="D73" s="15" t="str">
        <f>'Master Data'!F33</f>
        <v>Biscuits</v>
      </c>
      <c r="E73" s="16">
        <f>'Master Data'!L33</f>
        <v>0</v>
      </c>
      <c r="F73" s="16">
        <f>'Master Data'!AS33</f>
        <v>0</v>
      </c>
      <c r="G73" s="17">
        <f>IFERROR('Master Data'!AT33,0)</f>
        <v>0</v>
      </c>
      <c r="H73" s="16">
        <f>'Master Data'!AU33</f>
        <v>0</v>
      </c>
    </row>
    <row r="74" spans="1:8" ht="15" customHeight="1">
      <c r="A74" s="15" t="str">
        <f>'Master Data'!G34</f>
        <v>ROZ36957</v>
      </c>
      <c r="B74" s="15" t="str">
        <f>'Master Data'!H34</f>
        <v>Samuh Coconut Cookies Biscuit 70g</v>
      </c>
      <c r="C74" s="15" t="str">
        <f>'Master Data'!E34</f>
        <v>Rudrapur</v>
      </c>
      <c r="D74" s="15" t="str">
        <f>'Master Data'!F34</f>
        <v>Biscuits</v>
      </c>
      <c r="E74" s="16">
        <f>'Master Data'!L34</f>
        <v>0</v>
      </c>
      <c r="F74" s="16">
        <f>'Master Data'!AS34</f>
        <v>0</v>
      </c>
      <c r="G74" s="17">
        <f>IFERROR('Master Data'!AT34,0)</f>
        <v>0</v>
      </c>
      <c r="H74" s="16">
        <f>'Master Data'!AU34</f>
        <v>0</v>
      </c>
    </row>
    <row r="75" spans="1:8" ht="15" customHeight="1">
      <c r="A75" s="15" t="str">
        <f>'Master Data'!G35</f>
        <v>ROZ39495</v>
      </c>
      <c r="B75" s="15" t="str">
        <f>'Master Data'!H35</f>
        <v>Samuh Milky Biscuit 70 g</v>
      </c>
      <c r="C75" s="15" t="str">
        <f>'Master Data'!E35</f>
        <v>Rudrapur</v>
      </c>
      <c r="D75" s="15" t="str">
        <f>'Master Data'!F35</f>
        <v>Biscuits</v>
      </c>
      <c r="E75" s="16">
        <f>'Master Data'!L35</f>
        <v>0</v>
      </c>
      <c r="F75" s="16">
        <f>'Master Data'!AS35</f>
        <v>0</v>
      </c>
      <c r="G75" s="17">
        <f>IFERROR('Master Data'!AT35,0)</f>
        <v>0</v>
      </c>
      <c r="H75" s="16">
        <f>'Master Data'!AU35</f>
        <v>0</v>
      </c>
    </row>
    <row r="76" spans="1:8" ht="15" customHeight="1">
      <c r="A76" s="15" t="str">
        <f>'Master Data'!G36</f>
        <v>ROZ36959</v>
      </c>
      <c r="B76" s="15" t="str">
        <f>'Master Data'!H36</f>
        <v>Samuh Salty Sweety Biscuit 65 g</v>
      </c>
      <c r="C76" s="15" t="str">
        <f>'Master Data'!E36</f>
        <v>Rudrapur</v>
      </c>
      <c r="D76" s="15" t="str">
        <f>'Master Data'!F36</f>
        <v>Biscuits</v>
      </c>
      <c r="E76" s="16">
        <f>'Master Data'!L36</f>
        <v>0</v>
      </c>
      <c r="F76" s="16">
        <f>'Master Data'!AS36</f>
        <v>0</v>
      </c>
      <c r="G76" s="17">
        <f>IFERROR('Master Data'!AT36,0)</f>
        <v>0</v>
      </c>
      <c r="H76" s="16">
        <f>'Master Data'!AU36</f>
        <v>0</v>
      </c>
    </row>
    <row r="77" spans="1:8" ht="15" customHeight="1">
      <c r="A77" s="15" t="str">
        <f>'Master Data'!G37</f>
        <v>ROZ36958</v>
      </c>
      <c r="B77" s="15" t="str">
        <f>'Master Data'!H37</f>
        <v>Samuh Butter Cookies Biscuit 65g</v>
      </c>
      <c r="C77" s="15" t="str">
        <f>'Master Data'!E37</f>
        <v>Rudrapur</v>
      </c>
      <c r="D77" s="15" t="str">
        <f>'Master Data'!F37</f>
        <v>Biscuits</v>
      </c>
      <c r="E77" s="16">
        <f>'Master Data'!L37</f>
        <v>0</v>
      </c>
      <c r="F77" s="16">
        <f>'Master Data'!AS37</f>
        <v>0</v>
      </c>
      <c r="G77" s="17">
        <f>IFERROR('Master Data'!AT37,0)</f>
        <v>0</v>
      </c>
      <c r="H77" s="16">
        <f>'Master Data'!AU37</f>
        <v>0</v>
      </c>
    </row>
    <row r="78" spans="1:8" ht="15" customHeight="1">
      <c r="A78" s="15" t="str">
        <f>'Master Data'!G38</f>
        <v>ROZ36962</v>
      </c>
      <c r="B78" s="15" t="str">
        <f>'Master Data'!H38</f>
        <v>Samuh Marie Biscuit 75g</v>
      </c>
      <c r="C78" s="15" t="str">
        <f>'Master Data'!E38</f>
        <v>Rudrapur</v>
      </c>
      <c r="D78" s="15" t="str">
        <f>'Master Data'!F38</f>
        <v>Biscuits</v>
      </c>
      <c r="E78" s="16">
        <f>'Master Data'!L38</f>
        <v>0</v>
      </c>
      <c r="F78" s="16">
        <f>'Master Data'!AS38</f>
        <v>0</v>
      </c>
      <c r="G78" s="17">
        <f>IFERROR('Master Data'!AT38,0)</f>
        <v>0</v>
      </c>
      <c r="H78" s="16">
        <f>'Master Data'!AU38</f>
        <v>0</v>
      </c>
    </row>
    <row r="79" spans="1:8" ht="15" customHeight="1">
      <c r="A79" s="15" t="str">
        <f>'Master Data'!G39</f>
        <v>ROZ36961</v>
      </c>
      <c r="B79" s="15" t="str">
        <f>'Master Data'!H39</f>
        <v>Samuh Butter Kalonji Bliss 65g</v>
      </c>
      <c r="C79" s="15" t="str">
        <f>'Master Data'!E39</f>
        <v>Rudrapur</v>
      </c>
      <c r="D79" s="15" t="str">
        <f>'Master Data'!F39</f>
        <v>Biscuits</v>
      </c>
      <c r="E79" s="16">
        <f>'Master Data'!L39</f>
        <v>0</v>
      </c>
      <c r="F79" s="16">
        <f>'Master Data'!AS39</f>
        <v>0</v>
      </c>
      <c r="G79" s="17">
        <f>IFERROR('Master Data'!AT39,0)</f>
        <v>0</v>
      </c>
      <c r="H79" s="16">
        <f>'Master Data'!AU39</f>
        <v>0</v>
      </c>
    </row>
    <row r="80" spans="1:8" ht="15" customHeight="1">
      <c r="A80" s="15" t="str">
        <f>'Master Data'!G40</f>
        <v>ROZ36960</v>
      </c>
      <c r="B80" s="15" t="str">
        <f>'Master Data'!H40</f>
        <v>Samuh Butter Cashew Biscuit 60g</v>
      </c>
      <c r="C80" s="15" t="str">
        <f>'Master Data'!E40</f>
        <v>Rudrapur</v>
      </c>
      <c r="D80" s="15" t="str">
        <f>'Master Data'!F40</f>
        <v>Biscuits</v>
      </c>
      <c r="E80" s="16">
        <f>'Master Data'!L40</f>
        <v>0</v>
      </c>
      <c r="F80" s="16">
        <f>'Master Data'!AS40</f>
        <v>0</v>
      </c>
      <c r="G80" s="17">
        <f>IFERROR('Master Data'!AT40,0)</f>
        <v>0</v>
      </c>
      <c r="H80" s="16">
        <f>'Master Data'!AU40</f>
        <v>0</v>
      </c>
    </row>
    <row r="81" spans="1:8" ht="15" customHeight="1">
      <c r="A81" s="15" t="str">
        <f>'Master Data'!G41</f>
        <v>ROZ23760</v>
      </c>
      <c r="B81" s="15" t="str">
        <f>'Master Data'!H41</f>
        <v>Samuh Elaichi Rusk 130 g</v>
      </c>
      <c r="C81" s="15" t="str">
        <f>'Master Data'!E41</f>
        <v>Rudrapur</v>
      </c>
      <c r="D81" s="15" t="str">
        <f>'Master Data'!F41</f>
        <v>Rusk</v>
      </c>
      <c r="E81" s="16">
        <f>'Master Data'!L41</f>
        <v>0</v>
      </c>
      <c r="F81" s="16">
        <f>'Master Data'!AS41</f>
        <v>0</v>
      </c>
      <c r="G81" s="17">
        <f>IFERROR('Master Data'!AT41,0)</f>
        <v>0</v>
      </c>
      <c r="H81" s="16">
        <f>'Master Data'!AU41</f>
        <v>0</v>
      </c>
    </row>
    <row r="82" spans="1:8" ht="15" customHeight="1">
      <c r="A82" s="15" t="str">
        <f>'Master Data'!G42</f>
        <v>ROZ23759</v>
      </c>
      <c r="B82" s="15" t="str">
        <f>'Master Data'!H42</f>
        <v>Samuh Elaichi Rusk 65 g</v>
      </c>
      <c r="C82" s="15" t="str">
        <f>'Master Data'!E42</f>
        <v>Rudrapur</v>
      </c>
      <c r="D82" s="15" t="str">
        <f>'Master Data'!F42</f>
        <v>Rusk</v>
      </c>
      <c r="E82" s="16">
        <f>'Master Data'!L42</f>
        <v>0</v>
      </c>
      <c r="F82" s="16">
        <f>'Master Data'!AS42</f>
        <v>0</v>
      </c>
      <c r="G82" s="17">
        <f>IFERROR('Master Data'!AT42,0)</f>
        <v>0</v>
      </c>
      <c r="H82" s="16">
        <f>'Master Data'!AU42</f>
        <v>0</v>
      </c>
    </row>
    <row r="83" spans="1:8" ht="15" customHeight="1">
      <c r="A83" s="15" t="str">
        <f>'Master Data'!G43</f>
        <v>ROZ50020</v>
      </c>
      <c r="B83" s="15" t="str">
        <f>'Master Data'!H43</f>
        <v xml:space="preserve">Samuh Marie Biscuit 35 g	</v>
      </c>
      <c r="C83" s="15" t="str">
        <f>'Master Data'!E43</f>
        <v>Rudrapur</v>
      </c>
      <c r="D83" s="15" t="str">
        <f>'Master Data'!F43</f>
        <v>Biscuits</v>
      </c>
      <c r="E83" s="16">
        <f>'Master Data'!L43</f>
        <v>0</v>
      </c>
      <c r="F83" s="16">
        <f>'Master Data'!AS43</f>
        <v>0</v>
      </c>
      <c r="G83" s="17">
        <f>IFERROR('Master Data'!AT43,0)</f>
        <v>0</v>
      </c>
      <c r="H83" s="16">
        <f>'Master Data'!AU43</f>
        <v>0</v>
      </c>
    </row>
    <row r="84" spans="1:8" ht="15" customHeight="1">
      <c r="A84" s="58">
        <f>'Master Data'!G44</f>
        <v>1</v>
      </c>
      <c r="B84" s="15" t="str">
        <f>'Master Data'!H44</f>
        <v>Marie 30 Rs</v>
      </c>
      <c r="C84" s="15" t="str">
        <f>'Master Data'!E44</f>
        <v>Rudrapur</v>
      </c>
      <c r="D84" s="15" t="str">
        <f>'Master Data'!F44</f>
        <v>Biscuits</v>
      </c>
      <c r="E84" s="16">
        <f>'Master Data'!L44</f>
        <v>0</v>
      </c>
      <c r="F84" s="16">
        <f>'Master Data'!AS44</f>
        <v>0</v>
      </c>
      <c r="G84" s="17">
        <f>IFERROR('Master Data'!AT44,0)</f>
        <v>0</v>
      </c>
      <c r="H84" s="16">
        <f>'Master Data'!AU44</f>
        <v>0</v>
      </c>
    </row>
    <row r="85" spans="1:8" ht="15" customHeight="1">
      <c r="A85" s="15" t="str">
        <f>'Master Data'!G45</f>
        <v>ROZ23738</v>
      </c>
      <c r="B85" s="15" t="str">
        <f>'Master Data'!H45</f>
        <v>Samuh Beat it Bite it Chocolate Cream Biscuit 35 g</v>
      </c>
      <c r="C85" s="15" t="str">
        <f>'Master Data'!E45</f>
        <v>Asansol, West Bengal</v>
      </c>
      <c r="D85" s="15" t="str">
        <f>'Master Data'!F45</f>
        <v>Biscuits</v>
      </c>
      <c r="E85" s="16">
        <f>'Master Data'!L45</f>
        <v>0</v>
      </c>
      <c r="F85" s="16">
        <f>'Master Data'!AS45</f>
        <v>0</v>
      </c>
      <c r="G85" s="17">
        <f>IFERROR('Master Data'!AT45,0)</f>
        <v>0</v>
      </c>
      <c r="H85" s="16">
        <f>'Master Data'!AU45</f>
        <v>0</v>
      </c>
    </row>
    <row r="86" spans="1:8" ht="15" customHeight="1">
      <c r="A86" s="15" t="str">
        <f>'Master Data'!G46</f>
        <v>ROZ23739</v>
      </c>
      <c r="B86" s="15" t="str">
        <f>'Master Data'!H46</f>
        <v>Samuh Beat it! Bite it! Orange Cream Biscuit 35 g</v>
      </c>
      <c r="C86" s="15" t="str">
        <f>'Master Data'!E46</f>
        <v>Asansol, West Bengal</v>
      </c>
      <c r="D86" s="15" t="str">
        <f>'Master Data'!F46</f>
        <v>Biscuits</v>
      </c>
      <c r="E86" s="16">
        <f>'Master Data'!L46</f>
        <v>0</v>
      </c>
      <c r="F86" s="16">
        <f>'Master Data'!AS46</f>
        <v>0</v>
      </c>
      <c r="G86" s="17">
        <f>IFERROR('Master Data'!AT46,0)</f>
        <v>0</v>
      </c>
      <c r="H86" s="16">
        <f>'Master Data'!AU46</f>
        <v>0</v>
      </c>
    </row>
    <row r="87" spans="1:8" ht="15" customHeight="1">
      <c r="A87" s="15" t="str">
        <f>'Master Data'!G47</f>
        <v>ROZ23741</v>
      </c>
      <c r="B87" s="15" t="str">
        <f>'Master Data'!H47</f>
        <v>Samuh Coconut Cookies Biscuit 35 g</v>
      </c>
      <c r="C87" s="15" t="str">
        <f>'Master Data'!E47</f>
        <v>Asansol, West Bengal</v>
      </c>
      <c r="D87" s="15" t="str">
        <f>'Master Data'!F47</f>
        <v>Biscuits</v>
      </c>
      <c r="E87" s="16">
        <f>'Master Data'!L47</f>
        <v>0</v>
      </c>
      <c r="F87" s="16">
        <f>'Master Data'!AS47</f>
        <v>0</v>
      </c>
      <c r="G87" s="17">
        <f>IFERROR('Master Data'!AT47,0)</f>
        <v>0</v>
      </c>
      <c r="H87" s="16">
        <f>'Master Data'!AU47</f>
        <v>0</v>
      </c>
    </row>
    <row r="88" spans="1:8" ht="15" customHeight="1">
      <c r="A88" s="15" t="str">
        <f>'Master Data'!G48</f>
        <v>ROZ36954</v>
      </c>
      <c r="B88" s="15" t="str">
        <f>'Master Data'!H48</f>
        <v>Samuh Butter Cashew 30 g</v>
      </c>
      <c r="C88" s="15" t="str">
        <f>'Master Data'!E48</f>
        <v>Asansol, West Bengal</v>
      </c>
      <c r="D88" s="15" t="str">
        <f>'Master Data'!F48</f>
        <v>Biscuits</v>
      </c>
      <c r="E88" s="16">
        <f>'Master Data'!L48</f>
        <v>0</v>
      </c>
      <c r="F88" s="16">
        <f>'Master Data'!AS48</f>
        <v>0</v>
      </c>
      <c r="G88" s="17">
        <f>IFERROR('Master Data'!AT48,0)</f>
        <v>0</v>
      </c>
      <c r="H88" s="16">
        <f>'Master Data'!AU48</f>
        <v>0</v>
      </c>
    </row>
    <row r="89" spans="1:8" ht="15" customHeight="1">
      <c r="A89" s="15" t="str">
        <f>'Master Data'!G49</f>
        <v>ROZ23743</v>
      </c>
      <c r="B89" s="15" t="str">
        <f>'Master Data'!H49</f>
        <v>Samuh Butter Cookies Biscuit 32 g</v>
      </c>
      <c r="C89" s="15" t="str">
        <f>'Master Data'!E49</f>
        <v>Asansol, West Bengal</v>
      </c>
      <c r="D89" s="15" t="str">
        <f>'Master Data'!F49</f>
        <v>Biscuits</v>
      </c>
      <c r="E89" s="16">
        <f>'Master Data'!L49</f>
        <v>0</v>
      </c>
      <c r="F89" s="16">
        <f>'Master Data'!AS49</f>
        <v>0</v>
      </c>
      <c r="G89" s="17">
        <f>IFERROR('Master Data'!AT49,0)</f>
        <v>0</v>
      </c>
      <c r="H89" s="16">
        <f>'Master Data'!AU49</f>
        <v>0</v>
      </c>
    </row>
    <row r="90" spans="1:8" ht="15" customHeight="1">
      <c r="A90" s="15" t="str">
        <f>'Master Data'!G50</f>
        <v>ROZ36962</v>
      </c>
      <c r="B90" s="15" t="str">
        <f>'Master Data'!H50</f>
        <v>Samuh Marie Biscuit 75g</v>
      </c>
      <c r="C90" s="15" t="str">
        <f>'Master Data'!E50</f>
        <v>Asansol, West Bengal</v>
      </c>
      <c r="D90" s="15" t="str">
        <f>'Master Data'!F50</f>
        <v>Biscuits</v>
      </c>
      <c r="E90" s="16">
        <f>'Master Data'!L50</f>
        <v>0</v>
      </c>
      <c r="F90" s="16">
        <f>'Master Data'!AS50</f>
        <v>0</v>
      </c>
      <c r="G90" s="17">
        <f>IFERROR('Master Data'!AT50,0)</f>
        <v>0</v>
      </c>
      <c r="H90" s="16">
        <f>'Master Data'!AU50</f>
        <v>0</v>
      </c>
    </row>
    <row r="91" spans="1:8" ht="15" customHeight="1">
      <c r="A91" s="15" t="str">
        <f>'Master Data'!G51</f>
        <v>ROZ36955</v>
      </c>
      <c r="B91" s="15" t="str">
        <f>'Master Data'!H51</f>
        <v>Samuh Beat it Bite it Chocolate Cream Biscuit 70 g</v>
      </c>
      <c r="C91" s="15" t="str">
        <f>'Master Data'!E51</f>
        <v>Asansol, West Bengal</v>
      </c>
      <c r="D91" s="15" t="str">
        <f>'Master Data'!F51</f>
        <v>Biscuits</v>
      </c>
      <c r="E91" s="16">
        <f>'Master Data'!L51</f>
        <v>0</v>
      </c>
      <c r="F91" s="16">
        <f>'Master Data'!AS51</f>
        <v>0</v>
      </c>
      <c r="G91" s="17">
        <f>IFERROR('Master Data'!AT51,0)</f>
        <v>0</v>
      </c>
      <c r="H91" s="16">
        <f>'Master Data'!AU51</f>
        <v>0</v>
      </c>
    </row>
    <row r="92" spans="1:8" ht="15" customHeight="1">
      <c r="A92" s="15" t="str">
        <f>'Master Data'!G52</f>
        <v>ROZ36957</v>
      </c>
      <c r="B92" s="15" t="str">
        <f>'Master Data'!H52</f>
        <v>Samuh Coconut Cookies Biscuit 70g</v>
      </c>
      <c r="C92" s="15" t="str">
        <f>'Master Data'!E52</f>
        <v>Asansol, West Bengal</v>
      </c>
      <c r="D92" s="15" t="str">
        <f>'Master Data'!F52</f>
        <v>Biscuits</v>
      </c>
      <c r="E92" s="16">
        <f>'Master Data'!L52</f>
        <v>0</v>
      </c>
      <c r="F92" s="16">
        <f>'Master Data'!AS52</f>
        <v>0</v>
      </c>
      <c r="G92" s="17">
        <f>IFERROR('Master Data'!AT52,0)</f>
        <v>0</v>
      </c>
      <c r="H92" s="16">
        <f>'Master Data'!AU52</f>
        <v>0</v>
      </c>
    </row>
    <row r="93" spans="1:8" ht="15" customHeight="1">
      <c r="A93" s="15" t="str">
        <f>'Master Data'!G53</f>
        <v>ROZ36959</v>
      </c>
      <c r="B93" s="15" t="str">
        <f>'Master Data'!H53</f>
        <v>Samuh Salty Sweety Biscuit 65 g</v>
      </c>
      <c r="C93" s="15" t="str">
        <f>'Master Data'!E53</f>
        <v>Asansol, West Bengal</v>
      </c>
      <c r="D93" s="15" t="str">
        <f>'Master Data'!F53</f>
        <v>Biscuits</v>
      </c>
      <c r="E93" s="16">
        <f>'Master Data'!L53</f>
        <v>0</v>
      </c>
      <c r="F93" s="16">
        <f>'Master Data'!AS53</f>
        <v>0</v>
      </c>
      <c r="G93" s="17">
        <f>IFERROR('Master Data'!AT53,0)</f>
        <v>0</v>
      </c>
      <c r="H93" s="16">
        <f>'Master Data'!AU53</f>
        <v>0</v>
      </c>
    </row>
    <row r="94" spans="1:8" ht="15" customHeight="1">
      <c r="A94" s="15" t="str">
        <f>'Master Data'!G54</f>
        <v>ROZ23742</v>
      </c>
      <c r="B94" s="15" t="str">
        <f>'Master Data'!H54</f>
        <v>Samuh Salty Sweety Biscuit 32 g</v>
      </c>
      <c r="C94" s="15" t="str">
        <f>'Master Data'!E54</f>
        <v>Asansol, West Bengal</v>
      </c>
      <c r="D94" s="15" t="str">
        <f>'Master Data'!F54</f>
        <v>Biscuits</v>
      </c>
      <c r="E94" s="16">
        <f>'Master Data'!L54</f>
        <v>0</v>
      </c>
      <c r="F94" s="16">
        <f>'Master Data'!AS54</f>
        <v>0</v>
      </c>
      <c r="G94" s="17">
        <f>IFERROR('Master Data'!AT54,0)</f>
        <v>0</v>
      </c>
      <c r="H94" s="16">
        <f>'Master Data'!AU54</f>
        <v>0</v>
      </c>
    </row>
    <row r="95" spans="1:8" ht="15" customHeight="1">
      <c r="A95" s="15" t="str">
        <f>'Master Data'!G55</f>
        <v>ROZ36958</v>
      </c>
      <c r="B95" s="15" t="str">
        <f>'Master Data'!H55</f>
        <v>Samuh Butter Cookies Biscuit 65g</v>
      </c>
      <c r="C95" s="15" t="str">
        <f>'Master Data'!E55</f>
        <v>Asansol, West Bengal</v>
      </c>
      <c r="D95" s="15" t="str">
        <f>'Master Data'!F55</f>
        <v>Biscuits</v>
      </c>
      <c r="E95" s="16">
        <f>'Master Data'!L55</f>
        <v>0</v>
      </c>
      <c r="F95" s="16">
        <f>'Master Data'!AS55</f>
        <v>0</v>
      </c>
      <c r="G95" s="17">
        <f>IFERROR('Master Data'!AT55,0)</f>
        <v>0</v>
      </c>
      <c r="H95" s="16">
        <f>'Master Data'!AU55</f>
        <v>0</v>
      </c>
    </row>
    <row r="96" spans="1:8" ht="15" customHeight="1">
      <c r="A96" s="15" t="str">
        <f>'Master Data'!G56</f>
        <v>ROZ36960</v>
      </c>
      <c r="B96" s="15" t="str">
        <f>'Master Data'!H56</f>
        <v>Samuh Butter Cashew Biscuit 60g</v>
      </c>
      <c r="C96" s="15" t="str">
        <f>'Master Data'!E56</f>
        <v>Asansol, West Bengal</v>
      </c>
      <c r="D96" s="15" t="str">
        <f>'Master Data'!F56</f>
        <v>Biscuits</v>
      </c>
      <c r="E96" s="16">
        <f>'Master Data'!L56</f>
        <v>0</v>
      </c>
      <c r="F96" s="16">
        <f>'Master Data'!AS56</f>
        <v>0</v>
      </c>
      <c r="G96" s="17">
        <f>IFERROR('Master Data'!AT56,0)</f>
        <v>0</v>
      </c>
      <c r="H96" s="16">
        <f>'Master Data'!AU56</f>
        <v>0</v>
      </c>
    </row>
    <row r="97" spans="1:8" ht="15" customHeight="1">
      <c r="A97" s="15" t="str">
        <f>'Master Data'!G57</f>
        <v>ROZ36956</v>
      </c>
      <c r="B97" s="15" t="str">
        <f>'Master Data'!H57</f>
        <v>Samuh Beat it! Bite it! Orange Cream Biscuit 70 g</v>
      </c>
      <c r="C97" s="15" t="str">
        <f>'Master Data'!E57</f>
        <v>Asansol, West Bengal</v>
      </c>
      <c r="D97" s="15" t="str">
        <f>'Master Data'!F57</f>
        <v>Biscuits</v>
      </c>
      <c r="E97" s="16">
        <f>'Master Data'!L57</f>
        <v>0</v>
      </c>
      <c r="F97" s="16">
        <f>'Master Data'!AS57</f>
        <v>0</v>
      </c>
      <c r="G97" s="17">
        <f>IFERROR('Master Data'!AT57,0)</f>
        <v>0</v>
      </c>
      <c r="H97" s="16">
        <f>'Master Data'!AU57</f>
        <v>0</v>
      </c>
    </row>
    <row r="98" spans="1:8" ht="15" customHeight="1">
      <c r="A98" s="15" t="str">
        <f>'Master Data'!G58</f>
        <v>ROZ39494</v>
      </c>
      <c r="B98" s="15" t="str">
        <f>'Master Data'!H58</f>
        <v>Samuh Milky Biscuit 35 g</v>
      </c>
      <c r="C98" s="15" t="str">
        <f>'Master Data'!E58</f>
        <v>Asansol, West Bengal</v>
      </c>
      <c r="D98" s="15" t="str">
        <f>'Master Data'!F58</f>
        <v>Biscuits</v>
      </c>
      <c r="E98" s="16">
        <f>'Master Data'!L58</f>
        <v>0</v>
      </c>
      <c r="F98" s="16">
        <f>'Master Data'!AS58</f>
        <v>0</v>
      </c>
      <c r="G98" s="17">
        <f>IFERROR('Master Data'!AT58,0)</f>
        <v>0</v>
      </c>
      <c r="H98" s="16">
        <f>'Master Data'!AU58</f>
        <v>0</v>
      </c>
    </row>
    <row r="99" spans="1:8" ht="15" customHeight="1">
      <c r="A99" s="15" t="str">
        <f>'Master Data'!G59</f>
        <v>ROZ23740</v>
      </c>
      <c r="B99" s="15" t="str">
        <f>'Master Data'!H59</f>
        <v>Samuh Zeera Biscuit 35 g</v>
      </c>
      <c r="C99" s="15" t="str">
        <f>'Master Data'!E59</f>
        <v>Asansol, West Bengal</v>
      </c>
      <c r="D99" s="15" t="str">
        <f>'Master Data'!F59</f>
        <v>Biscuits</v>
      </c>
      <c r="E99" s="16">
        <f>'Master Data'!L59</f>
        <v>0</v>
      </c>
      <c r="F99" s="16">
        <f>'Master Data'!AS59</f>
        <v>0</v>
      </c>
      <c r="G99" s="17">
        <f>IFERROR('Master Data'!AT59,0)</f>
        <v>0</v>
      </c>
      <c r="H99" s="16">
        <f>'Master Data'!AU59</f>
        <v>0</v>
      </c>
    </row>
    <row r="100" spans="1:8" ht="15" customHeight="1">
      <c r="A100" s="15" t="str">
        <f>'Master Data'!G60</f>
        <v>ROZ39495</v>
      </c>
      <c r="B100" s="15" t="str">
        <f>'Master Data'!H60</f>
        <v>Samuh Milky Biscuit 70 g</v>
      </c>
      <c r="C100" s="15" t="str">
        <f>'Master Data'!E60</f>
        <v>Asansol, West Bengal</v>
      </c>
      <c r="D100" s="15" t="str">
        <f>'Master Data'!F60</f>
        <v>Biscuits</v>
      </c>
      <c r="E100" s="16">
        <f>'Master Data'!L60</f>
        <v>0</v>
      </c>
      <c r="F100" s="16">
        <f>'Master Data'!AS60</f>
        <v>0</v>
      </c>
      <c r="G100" s="17">
        <f>IFERROR('Master Data'!AT60,0)</f>
        <v>0</v>
      </c>
      <c r="H100" s="16">
        <f>'Master Data'!AU60</f>
        <v>0</v>
      </c>
    </row>
    <row r="101" spans="1:8" ht="15" customHeight="1">
      <c r="A101" s="15" t="str">
        <f>'Master Data'!G61</f>
        <v>ROZ36961</v>
      </c>
      <c r="B101" s="15" t="str">
        <f>'Master Data'!H61</f>
        <v>Samuh Butter Kalonji Bliss 65g</v>
      </c>
      <c r="C101" s="15" t="str">
        <f>'Master Data'!E61</f>
        <v>Asansol, West Bengal</v>
      </c>
      <c r="D101" s="15" t="str">
        <f>'Master Data'!F61</f>
        <v>Biscuits</v>
      </c>
      <c r="E101" s="16">
        <f>'Master Data'!L61</f>
        <v>0</v>
      </c>
      <c r="F101" s="16">
        <f>'Master Data'!AS61</f>
        <v>0</v>
      </c>
      <c r="G101" s="17">
        <f>IFERROR('Master Data'!AT61,0)</f>
        <v>0</v>
      </c>
      <c r="H101" s="16">
        <f>'Master Data'!AU61</f>
        <v>0</v>
      </c>
    </row>
    <row r="102" spans="1:8" ht="15" customHeight="1">
      <c r="A102" s="15" t="str">
        <f>'Master Data'!G62</f>
        <v>ROZ23760</v>
      </c>
      <c r="B102" s="15" t="str">
        <f>'Master Data'!H62</f>
        <v>Samuh Elaichi Rusk 130 g</v>
      </c>
      <c r="C102" s="15" t="str">
        <f>'Master Data'!E62</f>
        <v>Asansol, West Bengal</v>
      </c>
      <c r="D102" s="15" t="str">
        <f>'Master Data'!F62</f>
        <v>Rusk</v>
      </c>
      <c r="E102" s="16">
        <f>'Master Data'!L62</f>
        <v>0</v>
      </c>
      <c r="F102" s="16">
        <f>'Master Data'!AS62</f>
        <v>0</v>
      </c>
      <c r="G102" s="17">
        <f>IFERROR('Master Data'!AT62,0)</f>
        <v>0</v>
      </c>
      <c r="H102" s="16">
        <f>'Master Data'!AU62</f>
        <v>0</v>
      </c>
    </row>
    <row r="103" spans="1:8" ht="15" customHeight="1">
      <c r="A103" s="15" t="str">
        <f>'Master Data'!G63</f>
        <v>ROZ23759</v>
      </c>
      <c r="B103" s="15" t="str">
        <f>'Master Data'!H63</f>
        <v>Samuh Elaichi Rusk 65 g</v>
      </c>
      <c r="C103" s="15" t="str">
        <f>'Master Data'!E63</f>
        <v>Asansol, West Bengal</v>
      </c>
      <c r="D103" s="15" t="str">
        <f>'Master Data'!F63</f>
        <v>Rusk</v>
      </c>
      <c r="E103" s="16">
        <f>'Master Data'!L63</f>
        <v>0</v>
      </c>
      <c r="F103" s="16">
        <f>'Master Data'!AS63</f>
        <v>0</v>
      </c>
      <c r="G103" s="17">
        <f>IFERROR('Master Data'!AT63,0)</f>
        <v>0</v>
      </c>
      <c r="H103" s="16">
        <f>'Master Data'!AU63</f>
        <v>0</v>
      </c>
    </row>
    <row r="104" spans="1:8" ht="15" customHeight="1">
      <c r="A104" s="15" t="str">
        <f>'Master Data'!G64</f>
        <v>ROZ50020</v>
      </c>
      <c r="B104" s="15" t="str">
        <f>'Master Data'!H64</f>
        <v xml:space="preserve">Samuh Marie Biscuit 35 g	</v>
      </c>
      <c r="C104" s="15" t="str">
        <f>'Master Data'!E64</f>
        <v>Asansol, West Bengal</v>
      </c>
      <c r="D104" s="15" t="str">
        <f>'Master Data'!F64</f>
        <v>Biscuits</v>
      </c>
      <c r="E104" s="16">
        <f>'Master Data'!L64</f>
        <v>0</v>
      </c>
      <c r="F104" s="16">
        <f>'Master Data'!AS64</f>
        <v>0</v>
      </c>
      <c r="G104" s="17">
        <f>IFERROR('Master Data'!AT64,0)</f>
        <v>0</v>
      </c>
      <c r="H104" s="16">
        <f>'Master Data'!AU64</f>
        <v>0</v>
      </c>
    </row>
    <row r="105" spans="1:8" ht="15" customHeight="1">
      <c r="A105" s="58">
        <f>'Master Data'!G65</f>
        <v>1</v>
      </c>
      <c r="B105" s="15" t="str">
        <f>'Master Data'!H65</f>
        <v>Marie 30 Rs</v>
      </c>
      <c r="C105" s="15" t="str">
        <f>'Master Data'!E65</f>
        <v>Asansol, West Bengal</v>
      </c>
      <c r="D105" s="15" t="str">
        <f>'Master Data'!F65</f>
        <v>Biscuits</v>
      </c>
      <c r="E105" s="16">
        <f>'Master Data'!L65</f>
        <v>0</v>
      </c>
      <c r="F105" s="16">
        <f>'Master Data'!AS65</f>
        <v>0</v>
      </c>
      <c r="G105" s="17">
        <f>IFERROR('Master Data'!AT65,0)</f>
        <v>0</v>
      </c>
      <c r="H105" s="16">
        <f>'Master Data'!AU65</f>
        <v>0</v>
      </c>
    </row>
    <row r="106" spans="1:8" ht="15" customHeight="1">
      <c r="A106" s="15" t="str">
        <f>'Master Data'!G66</f>
        <v>ROZ23741</v>
      </c>
      <c r="B106" s="15" t="str">
        <f>'Master Data'!H66</f>
        <v>Samuh Coconut Cookies Biscuit 33 g</v>
      </c>
      <c r="C106" s="15" t="str">
        <f>'Master Data'!E66</f>
        <v>Kathua, Jammu</v>
      </c>
      <c r="D106" s="15" t="str">
        <f>'Master Data'!F66</f>
        <v>Biscuits</v>
      </c>
      <c r="E106" s="16">
        <f>'Master Data'!L66</f>
        <v>0</v>
      </c>
      <c r="F106" s="16">
        <f>'Master Data'!AS66</f>
        <v>0</v>
      </c>
      <c r="G106" s="17">
        <f>IFERROR('Master Data'!AT66,0)</f>
        <v>0</v>
      </c>
      <c r="H106" s="16">
        <f>'Master Data'!AU66</f>
        <v>0</v>
      </c>
    </row>
    <row r="107" spans="1:8" ht="15" customHeight="1">
      <c r="A107" s="15" t="str">
        <f>'Master Data'!G67</f>
        <v>ROZ36957</v>
      </c>
      <c r="B107" s="15" t="str">
        <f>'Master Data'!H67</f>
        <v>Samuh Coconut Cookies Biscuit 66g</v>
      </c>
      <c r="C107" s="15" t="str">
        <f>'Master Data'!E67</f>
        <v>Kathua, Jammu</v>
      </c>
      <c r="D107" s="15" t="str">
        <f>'Master Data'!F67</f>
        <v>Biscuits</v>
      </c>
      <c r="E107" s="16">
        <f>'Master Data'!L67</f>
        <v>0</v>
      </c>
      <c r="F107" s="16">
        <f>'Master Data'!AS67</f>
        <v>0</v>
      </c>
      <c r="G107" s="17">
        <f>IFERROR('Master Data'!AT67,0)</f>
        <v>0</v>
      </c>
      <c r="H107" s="16">
        <f>'Master Data'!AU67</f>
        <v>0</v>
      </c>
    </row>
    <row r="108" spans="1:8" ht="15" customHeight="1">
      <c r="A108" s="15" t="str">
        <f>'Master Data'!G68</f>
        <v>ROZ23739</v>
      </c>
      <c r="B108" s="15" t="str">
        <f>'Master Data'!H68</f>
        <v>Samuh Beat it! Bite it! Orange Cream Biscuit 33 g</v>
      </c>
      <c r="C108" s="15" t="str">
        <f>'Master Data'!E68</f>
        <v>Kathua, Jammu</v>
      </c>
      <c r="D108" s="15" t="str">
        <f>'Master Data'!F68</f>
        <v>Biscuits</v>
      </c>
      <c r="E108" s="16">
        <f>'Master Data'!L68</f>
        <v>0</v>
      </c>
      <c r="F108" s="16">
        <f>'Master Data'!AS68</f>
        <v>0</v>
      </c>
      <c r="G108" s="17">
        <f>IFERROR('Master Data'!AT68,0)</f>
        <v>0</v>
      </c>
      <c r="H108" s="16">
        <f>'Master Data'!AU68</f>
        <v>0</v>
      </c>
    </row>
    <row r="109" spans="1:8" ht="15" customHeight="1">
      <c r="A109" s="15" t="str">
        <f>'Master Data'!G69</f>
        <v>ROZ36956</v>
      </c>
      <c r="B109" s="15" t="str">
        <f>'Master Data'!H69</f>
        <v>Samuh Beat it! Bite it! Orange Cream Biscuit 66 g</v>
      </c>
      <c r="C109" s="15" t="str">
        <f>'Master Data'!E69</f>
        <v>Kathua, Jammu</v>
      </c>
      <c r="D109" s="15" t="str">
        <f>'Master Data'!F69</f>
        <v>Biscuits</v>
      </c>
      <c r="E109" s="16">
        <f>'Master Data'!L69</f>
        <v>0</v>
      </c>
      <c r="F109" s="16">
        <f>'Master Data'!AS69</f>
        <v>0</v>
      </c>
      <c r="G109" s="17">
        <f>IFERROR('Master Data'!AT69,0)</f>
        <v>0</v>
      </c>
      <c r="H109" s="16">
        <f>'Master Data'!AU69</f>
        <v>0</v>
      </c>
    </row>
    <row r="110" spans="1:8" ht="15" customHeight="1">
      <c r="A110" s="15" t="str">
        <f>'Master Data'!G70</f>
        <v>ROZ23738</v>
      </c>
      <c r="B110" s="15" t="str">
        <f>'Master Data'!H70</f>
        <v>Samuh Beat it Bite it Chocolate Cream Biscuit 33 g</v>
      </c>
      <c r="C110" s="15" t="str">
        <f>'Master Data'!E70</f>
        <v>Kathua, Jammu</v>
      </c>
      <c r="D110" s="15" t="str">
        <f>'Master Data'!F70</f>
        <v>Biscuits</v>
      </c>
      <c r="E110" s="16">
        <f>'Master Data'!L70</f>
        <v>0</v>
      </c>
      <c r="F110" s="16">
        <f>'Master Data'!AS70</f>
        <v>0</v>
      </c>
      <c r="G110" s="17">
        <f>IFERROR('Master Data'!AT70,0)</f>
        <v>0</v>
      </c>
      <c r="H110" s="16">
        <f>'Master Data'!AU70</f>
        <v>0</v>
      </c>
    </row>
    <row r="111" spans="1:8" ht="15" customHeight="1">
      <c r="A111" s="15" t="str">
        <f>'Master Data'!G71</f>
        <v>ROZ36955</v>
      </c>
      <c r="B111" s="15" t="str">
        <f>'Master Data'!H71</f>
        <v>Samuh Beat it Bite it Chocolate Cream Biscuit 66 g</v>
      </c>
      <c r="C111" s="15" t="str">
        <f>'Master Data'!E71</f>
        <v>Kathua, Jammu</v>
      </c>
      <c r="D111" s="15" t="str">
        <f>'Master Data'!F71</f>
        <v>Biscuits</v>
      </c>
      <c r="E111" s="16">
        <f>'Master Data'!L71</f>
        <v>0</v>
      </c>
      <c r="F111" s="16">
        <f>'Master Data'!AS71</f>
        <v>0</v>
      </c>
      <c r="G111" s="17">
        <f>IFERROR('Master Data'!AT71,0)</f>
        <v>0</v>
      </c>
      <c r="H111" s="16">
        <f>'Master Data'!AU71</f>
        <v>0</v>
      </c>
    </row>
    <row r="112" spans="1:8" ht="15" customHeight="1">
      <c r="A112" s="15" t="str">
        <f>'Master Data'!G72</f>
        <v>ROZ23743</v>
      </c>
      <c r="B112" s="15" t="str">
        <f>'Master Data'!H72</f>
        <v>Samuh Butter Cookies Biscuit 30 g</v>
      </c>
      <c r="C112" s="15" t="str">
        <f>'Master Data'!E72</f>
        <v>Kathua, Jammu</v>
      </c>
      <c r="D112" s="15" t="str">
        <f>'Master Data'!F72</f>
        <v>Biscuits</v>
      </c>
      <c r="E112" s="16">
        <f>'Master Data'!L72</f>
        <v>0</v>
      </c>
      <c r="F112" s="16">
        <f>'Master Data'!AS72</f>
        <v>0</v>
      </c>
      <c r="G112" s="17">
        <f>IFERROR('Master Data'!AT72,0)</f>
        <v>0</v>
      </c>
      <c r="H112" s="16">
        <f>'Master Data'!AU72</f>
        <v>0</v>
      </c>
    </row>
    <row r="113" spans="1:8" ht="15" customHeight="1">
      <c r="A113" s="15" t="str">
        <f>'Master Data'!G73</f>
        <v>ROZ36958</v>
      </c>
      <c r="B113" s="15" t="str">
        <f>'Master Data'!H73</f>
        <v>Samuh Butter Cookies Biscuit 60g</v>
      </c>
      <c r="C113" s="15" t="str">
        <f>'Master Data'!E73</f>
        <v>Kathua, Jammu</v>
      </c>
      <c r="D113" s="15" t="str">
        <f>'Master Data'!F73</f>
        <v>Biscuits</v>
      </c>
      <c r="E113" s="16">
        <f>'Master Data'!L73</f>
        <v>0</v>
      </c>
      <c r="F113" s="16">
        <f>'Master Data'!AS73</f>
        <v>0</v>
      </c>
      <c r="G113" s="17">
        <f>IFERROR('Master Data'!AT73,0)</f>
        <v>0</v>
      </c>
      <c r="H113" s="16">
        <f>'Master Data'!AU73</f>
        <v>0</v>
      </c>
    </row>
    <row r="114" spans="1:8" ht="15" customHeight="1">
      <c r="A114" s="15" t="str">
        <f>'Master Data'!G74</f>
        <v>ROZ36954</v>
      </c>
      <c r="B114" s="15" t="str">
        <f>'Master Data'!H74</f>
        <v>Samuh Butter Cashew 29 g</v>
      </c>
      <c r="C114" s="15" t="str">
        <f>'Master Data'!E74</f>
        <v>Kathua, Jammu</v>
      </c>
      <c r="D114" s="15" t="str">
        <f>'Master Data'!F74</f>
        <v>Biscuits</v>
      </c>
      <c r="E114" s="16">
        <f>'Master Data'!L74</f>
        <v>0</v>
      </c>
      <c r="F114" s="16">
        <f>'Master Data'!AS74</f>
        <v>0</v>
      </c>
      <c r="G114" s="17">
        <f>IFERROR('Master Data'!AT74,0)</f>
        <v>0</v>
      </c>
      <c r="H114" s="16">
        <f>'Master Data'!AU74</f>
        <v>0</v>
      </c>
    </row>
    <row r="115" spans="1:8" ht="15" customHeight="1">
      <c r="A115" s="15" t="str">
        <f>'Master Data'!G75</f>
        <v>ROZ36960</v>
      </c>
      <c r="B115" s="15" t="str">
        <f>'Master Data'!H75</f>
        <v>Samuh Butter Cashew Biscuit 58g</v>
      </c>
      <c r="C115" s="15" t="str">
        <f>'Master Data'!E75</f>
        <v>Kathua, Jammu</v>
      </c>
      <c r="D115" s="15" t="str">
        <f>'Master Data'!F75</f>
        <v>Biscuits</v>
      </c>
      <c r="E115" s="16">
        <f>'Master Data'!L75</f>
        <v>0</v>
      </c>
      <c r="F115" s="16">
        <f>'Master Data'!AS75</f>
        <v>0</v>
      </c>
      <c r="G115" s="17">
        <f>IFERROR('Master Data'!AT75,0)</f>
        <v>0</v>
      </c>
      <c r="H115" s="16">
        <f>'Master Data'!AU75</f>
        <v>0</v>
      </c>
    </row>
    <row r="116" spans="1:8" ht="15" customHeight="1">
      <c r="A116" s="15" t="str">
        <f>'Master Data'!G76</f>
        <v>ROZ39494</v>
      </c>
      <c r="B116" s="15" t="str">
        <f>'Master Data'!H76</f>
        <v>Samuh Milky Biscuit 35 g</v>
      </c>
      <c r="C116" s="15" t="str">
        <f>'Master Data'!E76</f>
        <v>Kathua, Jammu</v>
      </c>
      <c r="D116" s="15" t="str">
        <f>'Master Data'!F76</f>
        <v>Biscuits</v>
      </c>
      <c r="E116" s="16">
        <f>'Master Data'!L76</f>
        <v>0</v>
      </c>
      <c r="F116" s="16">
        <f>'Master Data'!AS76</f>
        <v>0</v>
      </c>
      <c r="G116" s="17">
        <f>IFERROR('Master Data'!AT76,0)</f>
        <v>0</v>
      </c>
      <c r="H116" s="16">
        <f>'Master Data'!AU76</f>
        <v>0</v>
      </c>
    </row>
    <row r="117" spans="1:8" ht="15" customHeight="1">
      <c r="A117" s="15" t="str">
        <f>'Master Data'!G77</f>
        <v>ROZ39495</v>
      </c>
      <c r="B117" s="15" t="str">
        <f>'Master Data'!H77</f>
        <v>Samuh Milky Biscuit 70 g</v>
      </c>
      <c r="C117" s="15" t="str">
        <f>'Master Data'!E77</f>
        <v>Kathua, Jammu</v>
      </c>
      <c r="D117" s="15" t="str">
        <f>'Master Data'!F77</f>
        <v>Biscuits</v>
      </c>
      <c r="E117" s="16">
        <f>'Master Data'!L77</f>
        <v>0</v>
      </c>
      <c r="F117" s="16">
        <f>'Master Data'!AS77</f>
        <v>0</v>
      </c>
      <c r="G117" s="17">
        <f>IFERROR('Master Data'!AT77,0)</f>
        <v>0</v>
      </c>
      <c r="H117" s="16">
        <f>'Master Data'!AU77</f>
        <v>0</v>
      </c>
    </row>
    <row r="118" spans="1:8" ht="15" customHeight="1">
      <c r="A118" s="15" t="str">
        <f>'Master Data'!G78</f>
        <v>ROZ23740</v>
      </c>
      <c r="B118" s="15" t="str">
        <f>'Master Data'!H78</f>
        <v>Samuh Zeera Biscuit 35 g</v>
      </c>
      <c r="C118" s="15" t="str">
        <f>'Master Data'!E78</f>
        <v>Kathua, Jammu</v>
      </c>
      <c r="D118" s="15" t="str">
        <f>'Master Data'!F78</f>
        <v>Biscuits</v>
      </c>
      <c r="E118" s="16">
        <f>'Master Data'!L78</f>
        <v>0</v>
      </c>
      <c r="F118" s="16">
        <f>'Master Data'!AS78</f>
        <v>0</v>
      </c>
      <c r="G118" s="17">
        <f>IFERROR('Master Data'!AT78,0)</f>
        <v>0</v>
      </c>
      <c r="H118" s="16">
        <f>'Master Data'!AU78</f>
        <v>0</v>
      </c>
    </row>
    <row r="119" spans="1:8" ht="15" customHeight="1">
      <c r="A119" s="15" t="str">
        <f>'Master Data'!G79</f>
        <v>ROZ23742</v>
      </c>
      <c r="B119" s="15" t="str">
        <f>'Master Data'!H79</f>
        <v>Samuh Salty Sweety Biscuit 32 g</v>
      </c>
      <c r="C119" s="15" t="str">
        <f>'Master Data'!E79</f>
        <v>Kathua, Jammu</v>
      </c>
      <c r="D119" s="15" t="str">
        <f>'Master Data'!F79</f>
        <v>Biscuits</v>
      </c>
      <c r="E119" s="16">
        <f>'Master Data'!L79</f>
        <v>0</v>
      </c>
      <c r="F119" s="16">
        <f>'Master Data'!AS79</f>
        <v>0</v>
      </c>
      <c r="G119" s="17">
        <f>IFERROR('Master Data'!AT79,0)</f>
        <v>0</v>
      </c>
      <c r="H119" s="16">
        <f>'Master Data'!AU79</f>
        <v>0</v>
      </c>
    </row>
    <row r="120" spans="1:8" ht="15" customHeight="1">
      <c r="A120" s="15" t="str">
        <f>'Master Data'!G80</f>
        <v>ROZ36959</v>
      </c>
      <c r="B120" s="15" t="str">
        <f>'Master Data'!H80</f>
        <v>Samuh Salty Sweety Biscuit 65 g</v>
      </c>
      <c r="C120" s="15" t="str">
        <f>'Master Data'!E80</f>
        <v>Kathua, Jammu</v>
      </c>
      <c r="D120" s="15" t="str">
        <f>'Master Data'!F80</f>
        <v>Biscuits</v>
      </c>
      <c r="E120" s="16">
        <f>'Master Data'!L80</f>
        <v>0</v>
      </c>
      <c r="F120" s="16">
        <f>'Master Data'!AS80</f>
        <v>0</v>
      </c>
      <c r="G120" s="17">
        <f>IFERROR('Master Data'!AT80,0)</f>
        <v>0</v>
      </c>
      <c r="H120" s="16">
        <f>'Master Data'!AU80</f>
        <v>0</v>
      </c>
    </row>
    <row r="121" spans="1:8" ht="15" customHeight="1">
      <c r="A121" s="15" t="str">
        <f>'Master Data'!G81</f>
        <v>ROZ36962</v>
      </c>
      <c r="B121" s="15" t="str">
        <f>'Master Data'!H81</f>
        <v>Samuh Marie Biscuit 75g</v>
      </c>
      <c r="C121" s="15" t="str">
        <f>'Master Data'!E81</f>
        <v>Kathua, Jammu</v>
      </c>
      <c r="D121" s="15" t="str">
        <f>'Master Data'!F81</f>
        <v>Biscuits</v>
      </c>
      <c r="E121" s="16">
        <f>'Master Data'!L81</f>
        <v>0</v>
      </c>
      <c r="F121" s="16">
        <f>'Master Data'!AS81</f>
        <v>0</v>
      </c>
      <c r="G121" s="17">
        <f>IFERROR('Master Data'!AT81,0)</f>
        <v>0</v>
      </c>
      <c r="H121" s="16">
        <f>'Master Data'!AU81</f>
        <v>0</v>
      </c>
    </row>
    <row r="122" spans="1:8" ht="15" customHeight="1">
      <c r="A122" s="15" t="str">
        <f>'Master Data'!G82</f>
        <v>ROZ36961</v>
      </c>
      <c r="B122" s="15" t="str">
        <f>'Master Data'!H82</f>
        <v>Samuh Butter Kalonji Bliss 65g</v>
      </c>
      <c r="C122" s="15" t="str">
        <f>'Master Data'!E82</f>
        <v>Kathua, Jammu</v>
      </c>
      <c r="D122" s="15" t="str">
        <f>'Master Data'!F82</f>
        <v>Biscuits</v>
      </c>
      <c r="E122" s="16">
        <f>'Master Data'!L82</f>
        <v>0</v>
      </c>
      <c r="F122" s="16">
        <f>'Master Data'!AS82</f>
        <v>0</v>
      </c>
      <c r="G122" s="17">
        <f>IFERROR('Master Data'!AT82,0)</f>
        <v>0</v>
      </c>
      <c r="H122" s="16">
        <f>'Master Data'!AU82</f>
        <v>0</v>
      </c>
    </row>
    <row r="123" spans="1:8" ht="15" customHeight="1">
      <c r="A123" s="15" t="str">
        <f>'Master Data'!G83</f>
        <v>ROZ46762</v>
      </c>
      <c r="B123" s="15" t="str">
        <f>'Master Data'!H83</f>
        <v>Samuh Bourbon Biscuit 60 g</v>
      </c>
      <c r="C123" s="15" t="str">
        <f>'Master Data'!E83</f>
        <v>Kathua, Jammu</v>
      </c>
      <c r="D123" s="15" t="str">
        <f>'Master Data'!F83</f>
        <v>Biscuits</v>
      </c>
      <c r="E123" s="16">
        <f>'Master Data'!L83</f>
        <v>0</v>
      </c>
      <c r="F123" s="16">
        <f>'Master Data'!AS83</f>
        <v>0</v>
      </c>
      <c r="G123" s="17">
        <f>IFERROR('Master Data'!AT83,0)</f>
        <v>0</v>
      </c>
      <c r="H123" s="16">
        <f>'Master Data'!AU83</f>
        <v>0</v>
      </c>
    </row>
    <row r="124" spans="1:8" ht="15" customHeight="1">
      <c r="A124" s="15" t="str">
        <f>'Master Data'!G84</f>
        <v>ROZ50019</v>
      </c>
      <c r="B124" s="15" t="str">
        <f>'Master Data'!H84</f>
        <v>Samuh Digestive Biscuit 60 g</v>
      </c>
      <c r="C124" s="15" t="str">
        <f>'Master Data'!E84</f>
        <v>Kathua, Jammu</v>
      </c>
      <c r="D124" s="15" t="str">
        <f>'Master Data'!F84</f>
        <v>Biscuits</v>
      </c>
      <c r="E124" s="16">
        <f>'Master Data'!L84</f>
        <v>0</v>
      </c>
      <c r="F124" s="16">
        <f>'Master Data'!AS84</f>
        <v>0</v>
      </c>
      <c r="G124" s="17">
        <f>IFERROR('Master Data'!AT84,0)</f>
        <v>0</v>
      </c>
      <c r="H124" s="16">
        <f>'Master Data'!AU84</f>
        <v>0</v>
      </c>
    </row>
    <row r="125" spans="1:8" ht="15" customHeight="1">
      <c r="A125" s="15" t="str">
        <f>'Master Data'!G85</f>
        <v>ROZ50020</v>
      </c>
      <c r="B125" s="15" t="str">
        <f>'Master Data'!H85</f>
        <v xml:space="preserve">Samuh Marie Biscuit 35 g	</v>
      </c>
      <c r="C125" s="15" t="str">
        <f>'Master Data'!E85</f>
        <v>Kathua, Jammu</v>
      </c>
      <c r="D125" s="15" t="str">
        <f>'Master Data'!F85</f>
        <v>Biscuits</v>
      </c>
      <c r="E125" s="16">
        <f>'Master Data'!L85</f>
        <v>0</v>
      </c>
      <c r="F125" s="16">
        <f>'Master Data'!AS85</f>
        <v>0</v>
      </c>
      <c r="G125" s="17">
        <f>IFERROR('Master Data'!AT85,0)</f>
        <v>0</v>
      </c>
      <c r="H125" s="16">
        <f>'Master Data'!AU85</f>
        <v>0</v>
      </c>
    </row>
    <row r="126" spans="1:8" ht="15" customHeight="1">
      <c r="A126" s="58">
        <f>'Master Data'!G86</f>
        <v>1</v>
      </c>
      <c r="B126" s="15" t="str">
        <f>'Master Data'!H86</f>
        <v>Marie 30 Rs</v>
      </c>
      <c r="C126" s="15" t="str">
        <f>'Master Data'!E86</f>
        <v>Kathua, Jammu</v>
      </c>
      <c r="D126" s="15" t="str">
        <f>'Master Data'!F86</f>
        <v>Biscuits</v>
      </c>
      <c r="E126" s="16">
        <f>'Master Data'!L86</f>
        <v>0</v>
      </c>
      <c r="F126" s="16">
        <f>'Master Data'!AS86</f>
        <v>0</v>
      </c>
      <c r="G126" s="17">
        <f>IFERROR('Master Data'!AT86,0)</f>
        <v>0</v>
      </c>
      <c r="H126" s="16">
        <f>'Master Data'!AU86</f>
        <v>0</v>
      </c>
    </row>
    <row r="127" spans="1:8" ht="15" customHeight="1">
      <c r="A127" s="15" t="str">
        <f>'Master Data'!G87</f>
        <v>ROZ23760</v>
      </c>
      <c r="B127" s="15" t="str">
        <f>'Master Data'!H87</f>
        <v>Samuh Elaichi Rusk 130 g</v>
      </c>
      <c r="C127" s="15" t="str">
        <f>'Master Data'!E87</f>
        <v>Kanpur</v>
      </c>
      <c r="D127" s="15" t="str">
        <f>'Master Data'!F87</f>
        <v>Rusk</v>
      </c>
      <c r="E127" s="16">
        <f>'Master Data'!L87</f>
        <v>0</v>
      </c>
      <c r="F127" s="16">
        <f>'Master Data'!AS87</f>
        <v>0</v>
      </c>
      <c r="G127" s="17">
        <f>IFERROR('Master Data'!AT87,0)</f>
        <v>0</v>
      </c>
      <c r="H127" s="16">
        <f>'Master Data'!AU87</f>
        <v>0</v>
      </c>
    </row>
    <row r="128" spans="1:8" ht="15" customHeight="1">
      <c r="A128" s="15" t="str">
        <f>'Master Data'!G88</f>
        <v>ROZ23759</v>
      </c>
      <c r="B128" s="15" t="str">
        <f>'Master Data'!H88</f>
        <v>Samuh Elaichi Rusk 65 g</v>
      </c>
      <c r="C128" s="15" t="str">
        <f>'Master Data'!E88</f>
        <v>Kanpur</v>
      </c>
      <c r="D128" s="15" t="str">
        <f>'Master Data'!F88</f>
        <v>Rusk</v>
      </c>
      <c r="E128" s="16">
        <f>'Master Data'!L88</f>
        <v>0</v>
      </c>
      <c r="F128" s="16">
        <f>'Master Data'!AS88</f>
        <v>0</v>
      </c>
      <c r="G128" s="17">
        <f>IFERROR('Master Data'!AT88,0)</f>
        <v>0</v>
      </c>
      <c r="H128" s="16">
        <f>'Master Data'!AU88</f>
        <v>0</v>
      </c>
    </row>
    <row r="129" spans="1:8" ht="15" customHeight="1">
      <c r="A129" s="15" t="str">
        <f>'Master Data'!G89</f>
        <v>ROZ23760</v>
      </c>
      <c r="B129" s="15" t="str">
        <f>'Master Data'!H89</f>
        <v>Samuh Elaichi Rusk 130 g</v>
      </c>
      <c r="C129" s="15" t="str">
        <f>'Master Data'!E89</f>
        <v>Kashipur</v>
      </c>
      <c r="D129" s="15" t="str">
        <f>'Master Data'!F89</f>
        <v>Rusk</v>
      </c>
      <c r="E129" s="16">
        <f>'Master Data'!L89</f>
        <v>0</v>
      </c>
      <c r="F129" s="16">
        <f>'Master Data'!AS89</f>
        <v>0</v>
      </c>
      <c r="G129" s="17">
        <f>IFERROR('Master Data'!AT89,0)</f>
        <v>0</v>
      </c>
      <c r="H129" s="16">
        <f>'Master Data'!AU89</f>
        <v>0</v>
      </c>
    </row>
    <row r="130" spans="1:8" ht="15" customHeight="1">
      <c r="A130" s="15" t="str">
        <f>'Master Data'!G90</f>
        <v>ROZ23759</v>
      </c>
      <c r="B130" s="15" t="str">
        <f>'Master Data'!H90</f>
        <v>Samuh Elaichi Rusk 65 g</v>
      </c>
      <c r="C130" s="15" t="str">
        <f>'Master Data'!E90</f>
        <v>Kashipur</v>
      </c>
      <c r="D130" s="15" t="str">
        <f>'Master Data'!F90</f>
        <v>Rusk</v>
      </c>
      <c r="E130" s="16">
        <f>'Master Data'!L90</f>
        <v>0</v>
      </c>
      <c r="F130" s="16">
        <f>'Master Data'!AS90</f>
        <v>0</v>
      </c>
      <c r="G130" s="17">
        <f>IFERROR('Master Data'!AT90,0)</f>
        <v>0</v>
      </c>
      <c r="H130" s="16">
        <f>'Master Data'!AU90</f>
        <v>0</v>
      </c>
    </row>
    <row r="131" spans="1:8" ht="15" customHeight="1">
      <c r="A131" s="15" t="str">
        <f>'Master Data'!G91</f>
        <v>ROZ23760</v>
      </c>
      <c r="B131" s="15" t="str">
        <f>'Master Data'!H91</f>
        <v>Samuh Elaichi Rusk 130 g</v>
      </c>
      <c r="C131" s="15" t="str">
        <f>'Master Data'!E91</f>
        <v>Shubham Enterprises</v>
      </c>
      <c r="D131" s="15" t="str">
        <f>'Master Data'!F91</f>
        <v>Rusk</v>
      </c>
      <c r="E131" s="16">
        <f>'Master Data'!L91</f>
        <v>0</v>
      </c>
      <c r="F131" s="16">
        <f>'Master Data'!AS91</f>
        <v>0</v>
      </c>
      <c r="G131" s="17">
        <f>IFERROR('Master Data'!AT91,0)</f>
        <v>0</v>
      </c>
      <c r="H131" s="16">
        <f>'Master Data'!AU91</f>
        <v>0</v>
      </c>
    </row>
    <row r="132" spans="1:8" ht="15" customHeight="1">
      <c r="A132" s="15" t="str">
        <f>'Master Data'!G92</f>
        <v>ROZ23759</v>
      </c>
      <c r="B132" s="15" t="str">
        <f>'Master Data'!H92</f>
        <v>Samuh Elaichi Rusk 65 g</v>
      </c>
      <c r="C132" s="15" t="str">
        <f>'Master Data'!E92</f>
        <v>Shubham Enterprises</v>
      </c>
      <c r="D132" s="15" t="str">
        <f>'Master Data'!F92</f>
        <v>Rusk</v>
      </c>
      <c r="E132" s="16">
        <f>'Master Data'!L92</f>
        <v>0</v>
      </c>
      <c r="F132" s="16">
        <f>'Master Data'!AS92</f>
        <v>0</v>
      </c>
      <c r="G132" s="17">
        <f>IFERROR('Master Data'!AT92,0)</f>
        <v>0</v>
      </c>
      <c r="H132" s="16">
        <f>'Master Data'!AU92</f>
        <v>0</v>
      </c>
    </row>
    <row r="133" spans="1:8" ht="15" customHeight="1">
      <c r="A133" s="15" t="str">
        <f>'Master Data'!G93</f>
        <v>ROZ39494</v>
      </c>
      <c r="B133" s="15" t="str">
        <f>'Master Data'!H93</f>
        <v>Samuh Milky Biscuit 35 g</v>
      </c>
      <c r="C133" s="15" t="str">
        <f>'Master Data'!E93</f>
        <v>Kolkata</v>
      </c>
      <c r="D133" s="15" t="str">
        <f>'Master Data'!F93</f>
        <v>Biscuits</v>
      </c>
      <c r="E133" s="16">
        <f>'Master Data'!L93</f>
        <v>0</v>
      </c>
      <c r="F133" s="16">
        <f>'Master Data'!AS93</f>
        <v>0</v>
      </c>
      <c r="G133" s="17">
        <f>IFERROR('Master Data'!AT93,0)</f>
        <v>0</v>
      </c>
      <c r="H133" s="16">
        <f>'Master Data'!AU93</f>
        <v>0</v>
      </c>
    </row>
    <row r="134" spans="1:8" ht="15" customHeight="1">
      <c r="A134" s="15" t="str">
        <f>'Master Data'!G94</f>
        <v>ROZ23739</v>
      </c>
      <c r="B134" s="15" t="str">
        <f>'Master Data'!H94</f>
        <v>Samuh Beat it! Bite it! Orange Cream Biscuit 35 g</v>
      </c>
      <c r="C134" s="15" t="str">
        <f>'Master Data'!E94</f>
        <v>Kolkata</v>
      </c>
      <c r="D134" s="15" t="str">
        <f>'Master Data'!F94</f>
        <v>Biscuits</v>
      </c>
      <c r="E134" s="16">
        <f>'Master Data'!L94</f>
        <v>0</v>
      </c>
      <c r="F134" s="16">
        <f>'Master Data'!AS94</f>
        <v>0</v>
      </c>
      <c r="G134" s="17">
        <f>IFERROR('Master Data'!AT94,0)</f>
        <v>0</v>
      </c>
      <c r="H134" s="16">
        <f>'Master Data'!AU94</f>
        <v>0</v>
      </c>
    </row>
    <row r="135" spans="1:8" ht="15" customHeight="1">
      <c r="A135" s="15" t="str">
        <f>'Master Data'!G95</f>
        <v>ROZ23738</v>
      </c>
      <c r="B135" s="15" t="str">
        <f>'Master Data'!H95</f>
        <v>Samuh Beat it Bite it Chocolate Cream Biscuit 35 g</v>
      </c>
      <c r="C135" s="15" t="str">
        <f>'Master Data'!E95</f>
        <v>Kolkata</v>
      </c>
      <c r="D135" s="15" t="str">
        <f>'Master Data'!F95</f>
        <v>Biscuits</v>
      </c>
      <c r="E135" s="16">
        <f>'Master Data'!L95</f>
        <v>0</v>
      </c>
      <c r="F135" s="16">
        <f>'Master Data'!AS95</f>
        <v>0</v>
      </c>
      <c r="G135" s="17">
        <f>IFERROR('Master Data'!AT95,0)</f>
        <v>0</v>
      </c>
      <c r="H135" s="16">
        <f>'Master Data'!AU95</f>
        <v>0</v>
      </c>
    </row>
    <row r="136" spans="1:8" ht="15" customHeight="1">
      <c r="A136" s="15" t="str">
        <f>'Master Data'!G96</f>
        <v>ROZ23743</v>
      </c>
      <c r="B136" s="15" t="str">
        <f>'Master Data'!H96</f>
        <v>Samuh Butter Cookies Biscuit 32 g</v>
      </c>
      <c r="C136" s="15" t="str">
        <f>'Master Data'!E96</f>
        <v>Kolkata</v>
      </c>
      <c r="D136" s="15" t="str">
        <f>'Master Data'!F96</f>
        <v>Biscuits</v>
      </c>
      <c r="E136" s="16">
        <f>'Master Data'!L96</f>
        <v>0</v>
      </c>
      <c r="F136" s="16">
        <f>'Master Data'!AS96</f>
        <v>0</v>
      </c>
      <c r="G136" s="17">
        <f>IFERROR('Master Data'!AT96,0)</f>
        <v>0</v>
      </c>
      <c r="H136" s="16">
        <f>'Master Data'!AU96</f>
        <v>0</v>
      </c>
    </row>
    <row r="137" spans="1:8" ht="15" customHeight="1">
      <c r="A137" s="15" t="str">
        <f>'Master Data'!G97</f>
        <v>ROZ23740</v>
      </c>
      <c r="B137" s="15" t="str">
        <f>'Master Data'!H97</f>
        <v>Samuh Zeera Biscuit 35 g</v>
      </c>
      <c r="C137" s="15" t="str">
        <f>'Master Data'!E97</f>
        <v>Kolkata</v>
      </c>
      <c r="D137" s="15" t="str">
        <f>'Master Data'!F97</f>
        <v>Biscuits</v>
      </c>
      <c r="E137" s="16">
        <f>'Master Data'!L97</f>
        <v>0</v>
      </c>
      <c r="F137" s="16">
        <f>'Master Data'!AS97</f>
        <v>0</v>
      </c>
      <c r="G137" s="17">
        <f>IFERROR('Master Data'!AT97,0)</f>
        <v>0</v>
      </c>
      <c r="H137" s="16">
        <f>'Master Data'!AU97</f>
        <v>0</v>
      </c>
    </row>
    <row r="138" spans="1:8" ht="15" customHeight="1">
      <c r="A138" s="15" t="str">
        <f>'Master Data'!G98</f>
        <v>ROZ23741</v>
      </c>
      <c r="B138" s="15" t="str">
        <f>'Master Data'!H98</f>
        <v>Samuh Coconut Cookies Biscuit 35 g</v>
      </c>
      <c r="C138" s="15" t="str">
        <f>'Master Data'!E98</f>
        <v>Kolkata</v>
      </c>
      <c r="D138" s="15" t="str">
        <f>'Master Data'!F98</f>
        <v>Biscuits</v>
      </c>
      <c r="E138" s="16">
        <f>'Master Data'!L98</f>
        <v>0</v>
      </c>
      <c r="F138" s="16">
        <f>'Master Data'!AS98</f>
        <v>0</v>
      </c>
      <c r="G138" s="17">
        <f>IFERROR('Master Data'!AT98,0)</f>
        <v>0</v>
      </c>
      <c r="H138" s="16">
        <f>'Master Data'!AU98</f>
        <v>0</v>
      </c>
    </row>
    <row r="139" spans="1:8" ht="15" customHeight="1">
      <c r="A139" s="15" t="str">
        <f>'Master Data'!G99</f>
        <v>ROZ23742</v>
      </c>
      <c r="B139" s="15" t="str">
        <f>'Master Data'!H99</f>
        <v>Samuh Salty Sweety Biscuit 32 g</v>
      </c>
      <c r="C139" s="15" t="str">
        <f>'Master Data'!E99</f>
        <v>Kolkata</v>
      </c>
      <c r="D139" s="15" t="str">
        <f>'Master Data'!F99</f>
        <v>Biscuits</v>
      </c>
      <c r="E139" s="16">
        <f>'Master Data'!L99</f>
        <v>0</v>
      </c>
      <c r="F139" s="16">
        <f>'Master Data'!AS99</f>
        <v>0</v>
      </c>
      <c r="G139" s="17">
        <f>IFERROR('Master Data'!AT99,0)</f>
        <v>0</v>
      </c>
      <c r="H139" s="16">
        <f>'Master Data'!AU99</f>
        <v>0</v>
      </c>
    </row>
    <row r="140" spans="1:8" ht="15" customHeight="1">
      <c r="A140" s="15" t="str">
        <f>'Master Data'!G100</f>
        <v>ROZ36954</v>
      </c>
      <c r="B140" s="15" t="str">
        <f>'Master Data'!H100</f>
        <v>Samuh Butter Cashew 30 g</v>
      </c>
      <c r="C140" s="15" t="str">
        <f>'Master Data'!E100</f>
        <v>Kolkata</v>
      </c>
      <c r="D140" s="15" t="str">
        <f>'Master Data'!F100</f>
        <v>Biscuits</v>
      </c>
      <c r="E140" s="16">
        <f>'Master Data'!L100</f>
        <v>0</v>
      </c>
      <c r="F140" s="16">
        <f>'Master Data'!AS100</f>
        <v>0</v>
      </c>
      <c r="G140" s="17">
        <f>IFERROR('Master Data'!AT100,0)</f>
        <v>0</v>
      </c>
      <c r="H140" s="16">
        <f>'Master Data'!AU100</f>
        <v>0</v>
      </c>
    </row>
    <row r="141" spans="1:8" ht="15" customHeight="1">
      <c r="A141" s="15" t="str">
        <f>'Master Data'!G101</f>
        <v>ROZ36955</v>
      </c>
      <c r="B141" s="15" t="str">
        <f>'Master Data'!H101</f>
        <v>Samuh Beat it Bite it Chocolate Cream Biscuit 70 g</v>
      </c>
      <c r="C141" s="15" t="str">
        <f>'Master Data'!E101</f>
        <v>Kolkata</v>
      </c>
      <c r="D141" s="15" t="str">
        <f>'Master Data'!F101</f>
        <v>Biscuits</v>
      </c>
      <c r="E141" s="16">
        <f>'Master Data'!L101</f>
        <v>0</v>
      </c>
      <c r="F141" s="16">
        <f>'Master Data'!AS101</f>
        <v>0</v>
      </c>
      <c r="G141" s="17">
        <f>IFERROR('Master Data'!AT101,0)</f>
        <v>0</v>
      </c>
      <c r="H141" s="16">
        <f>'Master Data'!AU101</f>
        <v>0</v>
      </c>
    </row>
    <row r="142" spans="1:8" ht="15" customHeight="1">
      <c r="A142" s="15" t="str">
        <f>'Master Data'!G102</f>
        <v>ROZ36956</v>
      </c>
      <c r="B142" s="15" t="str">
        <f>'Master Data'!H102</f>
        <v>Samuh Beat it! Bite it! Orange Cream Biscuit 70 g</v>
      </c>
      <c r="C142" s="15" t="str">
        <f>'Master Data'!E102</f>
        <v>Kolkata</v>
      </c>
      <c r="D142" s="15" t="str">
        <f>'Master Data'!F102</f>
        <v>Biscuits</v>
      </c>
      <c r="E142" s="16">
        <f>'Master Data'!L102</f>
        <v>0</v>
      </c>
      <c r="F142" s="16">
        <f>'Master Data'!AS102</f>
        <v>0</v>
      </c>
      <c r="G142" s="17">
        <f>IFERROR('Master Data'!AT102,0)</f>
        <v>0</v>
      </c>
      <c r="H142" s="16">
        <f>'Master Data'!AU102</f>
        <v>0</v>
      </c>
    </row>
    <row r="143" spans="1:8" ht="15" customHeight="1">
      <c r="A143" s="15" t="str">
        <f>'Master Data'!G103</f>
        <v>ROZ36957</v>
      </c>
      <c r="B143" s="15" t="str">
        <f>'Master Data'!H103</f>
        <v>Samuh Coconut Cookies Biscuit 70g</v>
      </c>
      <c r="C143" s="15" t="str">
        <f>'Master Data'!E103</f>
        <v>Kolkata</v>
      </c>
      <c r="D143" s="15" t="str">
        <f>'Master Data'!F103</f>
        <v>Biscuits</v>
      </c>
      <c r="E143" s="16">
        <f>'Master Data'!L103</f>
        <v>0</v>
      </c>
      <c r="F143" s="16">
        <f>'Master Data'!AS103</f>
        <v>0</v>
      </c>
      <c r="G143" s="17">
        <f>IFERROR('Master Data'!AT103,0)</f>
        <v>0</v>
      </c>
      <c r="H143" s="16">
        <f>'Master Data'!AU103</f>
        <v>0</v>
      </c>
    </row>
    <row r="144" spans="1:8" ht="15" customHeight="1">
      <c r="A144" s="15" t="str">
        <f>'Master Data'!G104</f>
        <v>ROZ39495</v>
      </c>
      <c r="B144" s="15" t="str">
        <f>'Master Data'!H104</f>
        <v>Samuh Milky Biscuit 70 g</v>
      </c>
      <c r="C144" s="15" t="str">
        <f>'Master Data'!E104</f>
        <v>Kolkata</v>
      </c>
      <c r="D144" s="15" t="str">
        <f>'Master Data'!F104</f>
        <v>Biscuits</v>
      </c>
      <c r="E144" s="16">
        <f>'Master Data'!L104</f>
        <v>0</v>
      </c>
      <c r="F144" s="16">
        <f>'Master Data'!AS104</f>
        <v>0</v>
      </c>
      <c r="G144" s="17">
        <f>IFERROR('Master Data'!AT104,0)</f>
        <v>0</v>
      </c>
      <c r="H144" s="16">
        <f>'Master Data'!AU104</f>
        <v>0</v>
      </c>
    </row>
    <row r="145" spans="1:8" ht="15" customHeight="1">
      <c r="A145" s="15" t="str">
        <f>'Master Data'!G105</f>
        <v>ROZ36959</v>
      </c>
      <c r="B145" s="15" t="str">
        <f>'Master Data'!H105</f>
        <v>Samuh Salty Sweety Biscuit 65 g</v>
      </c>
      <c r="C145" s="15" t="str">
        <f>'Master Data'!E105</f>
        <v>Kolkata</v>
      </c>
      <c r="D145" s="15" t="str">
        <f>'Master Data'!F105</f>
        <v>Biscuits</v>
      </c>
      <c r="E145" s="16">
        <f>'Master Data'!L105</f>
        <v>0</v>
      </c>
      <c r="F145" s="16">
        <f>'Master Data'!AS105</f>
        <v>0</v>
      </c>
      <c r="G145" s="17">
        <f>IFERROR('Master Data'!AT105,0)</f>
        <v>0</v>
      </c>
      <c r="H145" s="16">
        <f>'Master Data'!AU105</f>
        <v>0</v>
      </c>
    </row>
    <row r="146" spans="1:8" ht="15" customHeight="1">
      <c r="A146" s="15" t="str">
        <f>'Master Data'!G106</f>
        <v>ROZ36958</v>
      </c>
      <c r="B146" s="15" t="str">
        <f>'Master Data'!H106</f>
        <v>Samuh Butter Cookies Biscuit 65g</v>
      </c>
      <c r="C146" s="15" t="str">
        <f>'Master Data'!E106</f>
        <v>Kolkata</v>
      </c>
      <c r="D146" s="15" t="str">
        <f>'Master Data'!F106</f>
        <v>Biscuits</v>
      </c>
      <c r="E146" s="16">
        <f>'Master Data'!L106</f>
        <v>0</v>
      </c>
      <c r="F146" s="16">
        <f>'Master Data'!AS106</f>
        <v>0</v>
      </c>
      <c r="G146" s="17">
        <f>IFERROR('Master Data'!AT106,0)</f>
        <v>0</v>
      </c>
      <c r="H146" s="16">
        <f>'Master Data'!AU106</f>
        <v>0</v>
      </c>
    </row>
    <row r="147" spans="1:8" ht="15" customHeight="1">
      <c r="A147" s="15" t="str">
        <f>'Master Data'!G107</f>
        <v>ROZ36962</v>
      </c>
      <c r="B147" s="15" t="str">
        <f>'Master Data'!H107</f>
        <v>Samuh Marie Biscuit 75g</v>
      </c>
      <c r="C147" s="15" t="str">
        <f>'Master Data'!E107</f>
        <v>Kolkata</v>
      </c>
      <c r="D147" s="15" t="str">
        <f>'Master Data'!F107</f>
        <v>Biscuits</v>
      </c>
      <c r="E147" s="16">
        <f>'Master Data'!L107</f>
        <v>0</v>
      </c>
      <c r="F147" s="16">
        <f>'Master Data'!AS107</f>
        <v>0</v>
      </c>
      <c r="G147" s="17">
        <f>IFERROR('Master Data'!AT107,0)</f>
        <v>0</v>
      </c>
      <c r="H147" s="16">
        <f>'Master Data'!AU107</f>
        <v>0</v>
      </c>
    </row>
    <row r="148" spans="1:8" ht="15" customHeight="1">
      <c r="A148" s="15" t="str">
        <f>'Master Data'!G108</f>
        <v>ROZ36961</v>
      </c>
      <c r="B148" s="15" t="str">
        <f>'Master Data'!H108</f>
        <v>Samuh Butter Kalonji Bliss 65g</v>
      </c>
      <c r="C148" s="15" t="str">
        <f>'Master Data'!E108</f>
        <v>Kolkata</v>
      </c>
      <c r="D148" s="15" t="str">
        <f>'Master Data'!F108</f>
        <v>Biscuits</v>
      </c>
      <c r="E148" s="16">
        <f>'Master Data'!L108</f>
        <v>0</v>
      </c>
      <c r="F148" s="16">
        <f>'Master Data'!AS108</f>
        <v>0</v>
      </c>
      <c r="G148" s="17">
        <f>IFERROR('Master Data'!AT108,0)</f>
        <v>0</v>
      </c>
      <c r="H148" s="16">
        <f>'Master Data'!AU108</f>
        <v>0</v>
      </c>
    </row>
    <row r="149" spans="1:8" ht="15" customHeight="1">
      <c r="A149" s="15" t="str">
        <f>'Master Data'!G109</f>
        <v>ROZ36960</v>
      </c>
      <c r="B149" s="15" t="str">
        <f>'Master Data'!H109</f>
        <v>Samuh Butter Cashew Biscuit 60g</v>
      </c>
      <c r="C149" s="15" t="str">
        <f>'Master Data'!E109</f>
        <v>Kolkata</v>
      </c>
      <c r="D149" s="15" t="str">
        <f>'Master Data'!F109</f>
        <v>Biscuits</v>
      </c>
      <c r="E149" s="16">
        <f>'Master Data'!L109</f>
        <v>0</v>
      </c>
      <c r="F149" s="16">
        <f>'Master Data'!AS109</f>
        <v>0</v>
      </c>
      <c r="G149" s="17">
        <f>IFERROR('Master Data'!AT109,0)</f>
        <v>0</v>
      </c>
      <c r="H149" s="16">
        <f>'Master Data'!AU109</f>
        <v>0</v>
      </c>
    </row>
    <row r="150" spans="1:8" ht="15" customHeight="1">
      <c r="A150" s="15" t="str">
        <f>'Master Data'!G110</f>
        <v>ROZ50020</v>
      </c>
      <c r="B150" s="15" t="str">
        <f>'Master Data'!H110</f>
        <v xml:space="preserve">Samuh Marie Biscuit 35 g	</v>
      </c>
      <c r="C150" s="15" t="str">
        <f>'Master Data'!E110</f>
        <v>Kolkata</v>
      </c>
      <c r="D150" s="15" t="str">
        <f>'Master Data'!F110</f>
        <v>Biscuits</v>
      </c>
      <c r="E150" s="16">
        <f>'Master Data'!L110</f>
        <v>0</v>
      </c>
      <c r="F150" s="16">
        <f>'Master Data'!AS110</f>
        <v>0</v>
      </c>
      <c r="G150" s="17">
        <f>IFERROR('Master Data'!AT110,0)</f>
        <v>0</v>
      </c>
      <c r="H150" s="16">
        <f>'Master Data'!AU110</f>
        <v>0</v>
      </c>
    </row>
    <row r="151" spans="1:8" ht="15" customHeight="1">
      <c r="A151" s="58">
        <f>'Master Data'!G111</f>
        <v>1</v>
      </c>
      <c r="B151" s="15" t="str">
        <f>'Master Data'!H111</f>
        <v>Marie 30 Rs</v>
      </c>
      <c r="C151" s="15" t="str">
        <f>'Master Data'!E111</f>
        <v>Kolkata</v>
      </c>
      <c r="D151" s="15" t="str">
        <f>'Master Data'!F111</f>
        <v>Biscuits</v>
      </c>
      <c r="E151" s="16">
        <f>'Master Data'!L111</f>
        <v>0</v>
      </c>
      <c r="F151" s="16">
        <f>'Master Data'!AS111</f>
        <v>0</v>
      </c>
      <c r="G151" s="17">
        <f>IFERROR('Master Data'!AT111,0)</f>
        <v>0</v>
      </c>
      <c r="H151" s="16">
        <f>'Master Data'!AU111</f>
        <v>0</v>
      </c>
    </row>
    <row r="152" spans="1:8" ht="15" customHeight="1">
      <c r="A152" s="15" t="str">
        <f>'Master Data'!G112</f>
        <v>ROZ23760</v>
      </c>
      <c r="B152" s="15" t="str">
        <f>'Master Data'!H112</f>
        <v>Samuh Elaichi Rusk 130 g</v>
      </c>
      <c r="C152" s="15" t="str">
        <f>'Master Data'!E112</f>
        <v>Punjab</v>
      </c>
      <c r="D152" s="15" t="str">
        <f>'Master Data'!F112</f>
        <v>Rusk</v>
      </c>
      <c r="E152" s="16">
        <f>'Master Data'!L112</f>
        <v>0</v>
      </c>
      <c r="F152" s="16">
        <f>'Master Data'!AS112</f>
        <v>0</v>
      </c>
      <c r="G152" s="17">
        <f>IFERROR('Master Data'!AT112,0)</f>
        <v>0</v>
      </c>
      <c r="H152" s="16">
        <f>'Master Data'!AU112</f>
        <v>0</v>
      </c>
    </row>
    <row r="153" spans="1:8" ht="15" customHeight="1">
      <c r="A153" s="15" t="str">
        <f>'Master Data'!G113</f>
        <v>ROZ23759</v>
      </c>
      <c r="B153" s="15" t="str">
        <f>'Master Data'!H113</f>
        <v>Samuh Elaichi Rusk 65 g</v>
      </c>
      <c r="C153" s="15" t="str">
        <f>'Master Data'!E113</f>
        <v>Punjab</v>
      </c>
      <c r="D153" s="15" t="str">
        <f>'Master Data'!F113</f>
        <v>Rusk</v>
      </c>
      <c r="E153" s="16">
        <f>'Master Data'!L113</f>
        <v>0</v>
      </c>
      <c r="F153" s="16">
        <f>'Master Data'!AS113</f>
        <v>0</v>
      </c>
      <c r="G153" s="17">
        <f>IFERROR('Master Data'!AT113,0)</f>
        <v>0</v>
      </c>
      <c r="H153" s="16">
        <f>'Master Data'!AU113</f>
        <v>0</v>
      </c>
    </row>
  </sheetData>
  <mergeCells count="1">
    <mergeCell ref="A1:H1"/>
  </mergeCells>
  <conditionalFormatting sqref="G3:G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15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25"/>
  <sheetViews>
    <sheetView showGridLines="0" zoomScale="67" zoomScaleNormal="100" workbookViewId="0">
      <pane xSplit="3" ySplit="4" topLeftCell="R57" activePane="bottomRight" state="frozen"/>
      <selection pane="topRight" activeCell="D1" sqref="D1"/>
      <selection pane="bottomLeft" activeCell="A5" sqref="A5"/>
      <selection pane="bottomRight" activeCell="G17" sqref="G17"/>
    </sheetView>
  </sheetViews>
  <sheetFormatPr defaultColWidth="8.7109375" defaultRowHeight="15" outlineLevelRow="1" outlineLevelCol="1"/>
  <cols>
    <col min="1" max="3" width="10" customWidth="1" outlineLevel="1"/>
    <col min="4" max="4" width="32" customWidth="1"/>
    <col min="5" max="5" width="16" customWidth="1"/>
    <col min="6" max="6" width="12" customWidth="1"/>
    <col min="7" max="7" width="11" customWidth="1"/>
    <col min="8" max="8" width="48.7109375" bestFit="1" customWidth="1"/>
    <col min="9" max="11" width="10" customWidth="1"/>
    <col min="12" max="12" width="13.42578125" bestFit="1" customWidth="1"/>
    <col min="13" max="31" width="8" customWidth="1"/>
    <col min="32" max="32" width="10" bestFit="1" customWidth="1"/>
    <col min="33" max="36" width="8" customWidth="1"/>
    <col min="37" max="37" width="11" bestFit="1" customWidth="1"/>
    <col min="38" max="39" width="10" bestFit="1" customWidth="1"/>
    <col min="40" max="42" width="8" customWidth="1"/>
    <col min="43" max="44" width="12" customWidth="1"/>
    <col min="45" max="45" width="10" customWidth="1"/>
    <col min="46" max="46" width="12" customWidth="1"/>
  </cols>
  <sheetData>
    <row r="1" spans="1:46" ht="19.5" customHeight="1">
      <c r="A1" s="67" t="s">
        <v>36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</row>
    <row r="2" spans="1:46" ht="15" customHeight="1">
      <c r="A2" s="68" t="s">
        <v>37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</row>
    <row r="4" spans="1:46" ht="33.75" customHeight="1">
      <c r="A4" s="14" t="s">
        <v>38</v>
      </c>
      <c r="B4" s="14" t="s">
        <v>38</v>
      </c>
      <c r="C4" s="14" t="s">
        <v>39</v>
      </c>
      <c r="D4" s="14" t="s">
        <v>2</v>
      </c>
      <c r="E4" s="14" t="s">
        <v>35</v>
      </c>
      <c r="F4" s="14" t="s">
        <v>40</v>
      </c>
      <c r="G4" s="14" t="s">
        <v>41</v>
      </c>
      <c r="H4" s="14" t="s">
        <v>34</v>
      </c>
      <c r="I4" s="14" t="s">
        <v>42</v>
      </c>
      <c r="J4" s="14" t="s">
        <v>43</v>
      </c>
      <c r="K4" s="14" t="s">
        <v>44</v>
      </c>
      <c r="L4" s="14" t="s">
        <v>45</v>
      </c>
      <c r="M4" s="18">
        <v>46266</v>
      </c>
      <c r="N4" s="18">
        <v>46267</v>
      </c>
      <c r="O4" s="18">
        <v>46268</v>
      </c>
      <c r="P4" s="18">
        <v>46269</v>
      </c>
      <c r="Q4" s="18">
        <v>46270</v>
      </c>
      <c r="R4" s="18">
        <v>46271</v>
      </c>
      <c r="S4" s="18">
        <v>46272</v>
      </c>
      <c r="T4" s="18">
        <v>46273</v>
      </c>
      <c r="U4" s="18">
        <v>46274</v>
      </c>
      <c r="V4" s="18">
        <v>46275</v>
      </c>
      <c r="W4" s="18">
        <v>46276</v>
      </c>
      <c r="X4" s="18">
        <v>46277</v>
      </c>
      <c r="Y4" s="18">
        <v>46278</v>
      </c>
      <c r="Z4" s="18">
        <v>46279</v>
      </c>
      <c r="AA4" s="18">
        <v>46280</v>
      </c>
      <c r="AB4" s="18">
        <v>46281</v>
      </c>
      <c r="AC4" s="18">
        <v>46282</v>
      </c>
      <c r="AD4" s="18">
        <v>46283</v>
      </c>
      <c r="AE4" s="18">
        <v>46284</v>
      </c>
      <c r="AF4" s="18">
        <v>46285</v>
      </c>
      <c r="AG4" s="18">
        <v>46286</v>
      </c>
      <c r="AH4" s="18">
        <v>46287</v>
      </c>
      <c r="AI4" s="18">
        <v>46288</v>
      </c>
      <c r="AJ4" s="18">
        <v>46289</v>
      </c>
      <c r="AK4" s="18">
        <v>46290</v>
      </c>
      <c r="AL4" s="18">
        <v>46291</v>
      </c>
      <c r="AM4" s="18">
        <v>46292</v>
      </c>
      <c r="AN4" s="18">
        <v>46293</v>
      </c>
      <c r="AO4" s="18">
        <v>46294</v>
      </c>
      <c r="AP4" s="18">
        <v>46295</v>
      </c>
      <c r="AQ4" s="14" t="s">
        <v>46</v>
      </c>
      <c r="AR4" s="14" t="s">
        <v>47</v>
      </c>
      <c r="AS4" s="14" t="s">
        <v>48</v>
      </c>
      <c r="AT4" s="14" t="s">
        <v>49</v>
      </c>
    </row>
    <row r="5" spans="1:46" ht="15" customHeight="1">
      <c r="A5" s="69" t="s">
        <v>50</v>
      </c>
      <c r="B5" s="69"/>
      <c r="C5" s="69"/>
      <c r="D5" s="2"/>
      <c r="E5" s="2"/>
      <c r="F5" s="2"/>
      <c r="G5" s="2"/>
      <c r="H5" s="2"/>
      <c r="I5" s="2"/>
      <c r="J5" s="2"/>
      <c r="K5" s="2"/>
      <c r="L5" s="19">
        <f t="shared" ref="L5:AR5" si="0">SUM(L6:L26)</f>
        <v>0</v>
      </c>
      <c r="M5" s="20">
        <f t="shared" si="0"/>
        <v>0</v>
      </c>
      <c r="N5" s="20">
        <f t="shared" si="0"/>
        <v>0</v>
      </c>
      <c r="O5" s="20">
        <f t="shared" si="0"/>
        <v>0</v>
      </c>
      <c r="P5" s="20">
        <f t="shared" si="0"/>
        <v>0</v>
      </c>
      <c r="Q5" s="20">
        <f t="shared" si="0"/>
        <v>0</v>
      </c>
      <c r="R5" s="20">
        <f t="shared" si="0"/>
        <v>0</v>
      </c>
      <c r="S5" s="20">
        <f t="shared" si="0"/>
        <v>0</v>
      </c>
      <c r="T5" s="20">
        <f t="shared" si="0"/>
        <v>0</v>
      </c>
      <c r="U5" s="20">
        <f t="shared" si="0"/>
        <v>0</v>
      </c>
      <c r="V5" s="20">
        <f t="shared" si="0"/>
        <v>0</v>
      </c>
      <c r="W5" s="20">
        <f t="shared" si="0"/>
        <v>0</v>
      </c>
      <c r="X5" s="20">
        <f t="shared" si="0"/>
        <v>0</v>
      </c>
      <c r="Y5" s="20">
        <f t="shared" si="0"/>
        <v>0</v>
      </c>
      <c r="Z5" s="20">
        <f t="shared" si="0"/>
        <v>0</v>
      </c>
      <c r="AA5" s="20">
        <f t="shared" si="0"/>
        <v>0</v>
      </c>
      <c r="AB5" s="20">
        <f t="shared" si="0"/>
        <v>0</v>
      </c>
      <c r="AC5" s="20">
        <f t="shared" si="0"/>
        <v>0</v>
      </c>
      <c r="AD5" s="20">
        <f t="shared" si="0"/>
        <v>0</v>
      </c>
      <c r="AE5" s="20">
        <f t="shared" si="0"/>
        <v>0</v>
      </c>
      <c r="AF5" s="20">
        <f t="shared" si="0"/>
        <v>0</v>
      </c>
      <c r="AG5" s="20">
        <f t="shared" si="0"/>
        <v>0</v>
      </c>
      <c r="AH5" s="20">
        <f t="shared" si="0"/>
        <v>0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O5" s="20">
        <f t="shared" si="0"/>
        <v>0</v>
      </c>
      <c r="AP5" s="20">
        <f t="shared" si="0"/>
        <v>0</v>
      </c>
      <c r="AQ5" s="20">
        <f t="shared" si="0"/>
        <v>0</v>
      </c>
      <c r="AR5" s="21">
        <f t="shared" si="0"/>
        <v>0</v>
      </c>
      <c r="AS5" s="22">
        <f t="shared" ref="AS5:AS36" si="1">IFERROR(AR5/L5,0)</f>
        <v>0</v>
      </c>
      <c r="AT5" s="21">
        <f>SUM(AT6:AT26)</f>
        <v>0</v>
      </c>
    </row>
    <row r="6" spans="1:46" ht="15" customHeight="1" outlineLevel="1">
      <c r="A6" s="15" t="str">
        <f>'Master Data'!A3</f>
        <v>VEETADAY INDUSTRIES PRIVATE LIMITEDROZ39494</v>
      </c>
      <c r="B6" s="15" t="str">
        <f>'Master Data'!B3</f>
        <v>VD</v>
      </c>
      <c r="C6" s="15" t="str">
        <f>'Master Data'!C3</f>
        <v>VDROZ39494</v>
      </c>
      <c r="D6" s="15" t="str">
        <f>'Master Data'!D3</f>
        <v>VEETADAY INDUSTRIES PRIVATE LIMITED</v>
      </c>
      <c r="E6" s="15" t="str">
        <f>'Master Data'!E3</f>
        <v>Lucknow</v>
      </c>
      <c r="F6" s="15" t="str">
        <f>'Master Data'!F3</f>
        <v>Biscuits</v>
      </c>
      <c r="G6" s="15" t="str">
        <f>'Master Data'!G3</f>
        <v>ROZ39494</v>
      </c>
      <c r="H6" s="15" t="str">
        <f>'Master Data'!H3</f>
        <v>Samuh Milky Biscuit 35 g</v>
      </c>
      <c r="I6" s="23">
        <f>'Master Data'!I3</f>
        <v>5</v>
      </c>
      <c r="J6" s="23">
        <f>'Master Data'!J3</f>
        <v>35</v>
      </c>
      <c r="K6" s="23">
        <f>'Master Data'!K3</f>
        <v>144</v>
      </c>
      <c r="L6" s="24">
        <f>'Master Data'!L3</f>
        <v>0</v>
      </c>
      <c r="M6" s="23">
        <f>'Master Data'!M3</f>
        <v>0</v>
      </c>
      <c r="N6" s="23">
        <f>'Master Data'!N3</f>
        <v>0</v>
      </c>
      <c r="O6" s="23">
        <f>'Master Data'!O3</f>
        <v>0</v>
      </c>
      <c r="P6" s="23">
        <f>'Master Data'!P3</f>
        <v>0</v>
      </c>
      <c r="Q6" s="23">
        <f>'Master Data'!Q3</f>
        <v>0</v>
      </c>
      <c r="R6" s="23">
        <f>'Master Data'!R3</f>
        <v>0</v>
      </c>
      <c r="S6" s="23">
        <f>'Master Data'!S3</f>
        <v>0</v>
      </c>
      <c r="T6" s="23">
        <f>'Master Data'!T3</f>
        <v>0</v>
      </c>
      <c r="U6" s="23">
        <f>'Master Data'!U3</f>
        <v>0</v>
      </c>
      <c r="V6" s="23">
        <f>'Master Data'!V3</f>
        <v>0</v>
      </c>
      <c r="W6" s="23">
        <f>'Master Data'!W3</f>
        <v>0</v>
      </c>
      <c r="X6" s="23">
        <f>'Master Data'!X3</f>
        <v>0</v>
      </c>
      <c r="Y6" s="23">
        <f>'Master Data'!Y3</f>
        <v>0</v>
      </c>
      <c r="Z6" s="23">
        <f>'Master Data'!Z3</f>
        <v>0</v>
      </c>
      <c r="AA6" s="23">
        <f>'Master Data'!AA3</f>
        <v>0</v>
      </c>
      <c r="AB6" s="23">
        <f>'Master Data'!AB3</f>
        <v>0</v>
      </c>
      <c r="AC6" s="23">
        <f>'Master Data'!AC3</f>
        <v>0</v>
      </c>
      <c r="AD6" s="23">
        <f>'Master Data'!AD3</f>
        <v>0</v>
      </c>
      <c r="AE6" s="23">
        <f>'Master Data'!AE3</f>
        <v>0</v>
      </c>
      <c r="AF6" s="23">
        <f>'Master Data'!AF3</f>
        <v>0</v>
      </c>
      <c r="AG6" s="23">
        <f>'Master Data'!AG3</f>
        <v>0</v>
      </c>
      <c r="AH6" s="23">
        <f>'Master Data'!AH3</f>
        <v>0</v>
      </c>
      <c r="AI6" s="23">
        <f>'Master Data'!AI3</f>
        <v>0</v>
      </c>
      <c r="AJ6" s="23">
        <f>'Master Data'!AJ3</f>
        <v>0</v>
      </c>
      <c r="AK6" s="23">
        <f>'Master Data'!AK3</f>
        <v>0</v>
      </c>
      <c r="AL6" s="23">
        <f>'Master Data'!AL3</f>
        <v>0</v>
      </c>
      <c r="AM6" s="23">
        <f>'Master Data'!AM3</f>
        <v>0</v>
      </c>
      <c r="AN6" s="23">
        <f>'Master Data'!AN3</f>
        <v>0</v>
      </c>
      <c r="AO6" s="23">
        <f>'Master Data'!AO3</f>
        <v>0</v>
      </c>
      <c r="AP6" s="23">
        <f>'Master Data'!AP3</f>
        <v>0</v>
      </c>
      <c r="AQ6" s="23">
        <f t="shared" ref="AQ6:AQ26" si="2">SUM(M6:AP6)</f>
        <v>0</v>
      </c>
      <c r="AR6" s="16">
        <f t="shared" ref="AR6:AR26" si="3">(AQ6*J6*K6)/1000000</f>
        <v>0</v>
      </c>
      <c r="AS6" s="17">
        <f t="shared" si="1"/>
        <v>0</v>
      </c>
      <c r="AT6" s="16">
        <f t="shared" ref="AT6:AT26" si="4">L6-AR6</f>
        <v>0</v>
      </c>
    </row>
    <row r="7" spans="1:46" ht="15" customHeight="1" outlineLevel="1">
      <c r="A7" s="15" t="str">
        <f>'Master Data'!A4</f>
        <v>VEETADAY INDUSTRIES PRIVATE LIMITEDROZ23739</v>
      </c>
      <c r="B7" s="15" t="str">
        <f>'Master Data'!B4</f>
        <v>VD</v>
      </c>
      <c r="C7" s="15" t="str">
        <f>'Master Data'!C4</f>
        <v>VDROZ23739</v>
      </c>
      <c r="D7" s="15" t="str">
        <f>'Master Data'!D4</f>
        <v>VEETADAY INDUSTRIES PRIVATE LIMITED</v>
      </c>
      <c r="E7" s="15" t="str">
        <f>'Master Data'!E4</f>
        <v>Lucknow</v>
      </c>
      <c r="F7" s="15" t="str">
        <f>'Master Data'!F4</f>
        <v>Biscuits</v>
      </c>
      <c r="G7" s="15" t="str">
        <f>'Master Data'!G4</f>
        <v>ROZ23739</v>
      </c>
      <c r="H7" s="15" t="str">
        <f>'Master Data'!H4</f>
        <v>Samuh Beat it! Bite it! Orange Cream Biscuit 35 g</v>
      </c>
      <c r="I7" s="23">
        <f>'Master Data'!I4</f>
        <v>5</v>
      </c>
      <c r="J7" s="23">
        <f>'Master Data'!J4</f>
        <v>35</v>
      </c>
      <c r="K7" s="23">
        <f>'Master Data'!K4</f>
        <v>144</v>
      </c>
      <c r="L7" s="24">
        <f>'Master Data'!L4</f>
        <v>0</v>
      </c>
      <c r="M7" s="23">
        <f>'Master Data'!M4</f>
        <v>0</v>
      </c>
      <c r="N7" s="23">
        <f>'Master Data'!N4</f>
        <v>0</v>
      </c>
      <c r="O7" s="23">
        <f>'Master Data'!O4</f>
        <v>0</v>
      </c>
      <c r="P7" s="23">
        <f>'Master Data'!P4</f>
        <v>0</v>
      </c>
      <c r="Q7" s="23">
        <f>'Master Data'!Q4</f>
        <v>0</v>
      </c>
      <c r="R7" s="23">
        <f>'Master Data'!R4</f>
        <v>0</v>
      </c>
      <c r="S7" s="23">
        <f>'Master Data'!S4</f>
        <v>0</v>
      </c>
      <c r="T7" s="23">
        <f>'Master Data'!T4</f>
        <v>0</v>
      </c>
      <c r="U7" s="23">
        <f>'Master Data'!U4</f>
        <v>0</v>
      </c>
      <c r="V7" s="23">
        <f>'Master Data'!V4</f>
        <v>0</v>
      </c>
      <c r="W7" s="23">
        <f>'Master Data'!W4</f>
        <v>0</v>
      </c>
      <c r="X7" s="23">
        <f>'Master Data'!X4</f>
        <v>0</v>
      </c>
      <c r="Y7" s="23">
        <f>'Master Data'!Y4</f>
        <v>0</v>
      </c>
      <c r="Z7" s="23">
        <f>'Master Data'!Z4</f>
        <v>0</v>
      </c>
      <c r="AA7" s="23">
        <f>'Master Data'!AA4</f>
        <v>0</v>
      </c>
      <c r="AB7" s="23">
        <f>'Master Data'!AB4</f>
        <v>0</v>
      </c>
      <c r="AC7" s="23">
        <f>'Master Data'!AC4</f>
        <v>0</v>
      </c>
      <c r="AD7" s="23">
        <f>'Master Data'!AD4</f>
        <v>0</v>
      </c>
      <c r="AE7" s="23">
        <f>'Master Data'!AE4</f>
        <v>0</v>
      </c>
      <c r="AF7" s="23">
        <f>'Master Data'!AF4</f>
        <v>0</v>
      </c>
      <c r="AG7" s="23">
        <f>'Master Data'!AG4</f>
        <v>0</v>
      </c>
      <c r="AH7" s="23">
        <f>'Master Data'!AH4</f>
        <v>0</v>
      </c>
      <c r="AI7" s="23">
        <f>'Master Data'!AI4</f>
        <v>0</v>
      </c>
      <c r="AJ7" s="23">
        <f>'Master Data'!AJ4</f>
        <v>0</v>
      </c>
      <c r="AK7" s="23">
        <f>'Master Data'!AK4</f>
        <v>0</v>
      </c>
      <c r="AL7" s="23">
        <f>'Master Data'!AL4</f>
        <v>0</v>
      </c>
      <c r="AM7" s="23">
        <f>'Master Data'!AM4</f>
        <v>0</v>
      </c>
      <c r="AN7" s="23">
        <f>'Master Data'!AN4</f>
        <v>0</v>
      </c>
      <c r="AO7" s="23">
        <f>'Master Data'!AO4</f>
        <v>0</v>
      </c>
      <c r="AP7" s="23">
        <f>'Master Data'!AP4</f>
        <v>0</v>
      </c>
      <c r="AQ7" s="23">
        <f t="shared" si="2"/>
        <v>0</v>
      </c>
      <c r="AR7" s="16">
        <f t="shared" si="3"/>
        <v>0</v>
      </c>
      <c r="AS7" s="17">
        <f t="shared" si="1"/>
        <v>0</v>
      </c>
      <c r="AT7" s="16">
        <f t="shared" si="4"/>
        <v>0</v>
      </c>
    </row>
    <row r="8" spans="1:46" ht="15" customHeight="1" outlineLevel="1">
      <c r="A8" s="15" t="str">
        <f>'Master Data'!A5</f>
        <v>VEETADAY INDUSTRIES PRIVATE LIMITEDROZ23738</v>
      </c>
      <c r="B8" s="15" t="str">
        <f>'Master Data'!B5</f>
        <v>VD</v>
      </c>
      <c r="C8" s="15" t="str">
        <f>'Master Data'!C5</f>
        <v>VDROZ23738</v>
      </c>
      <c r="D8" s="15" t="str">
        <f>'Master Data'!D5</f>
        <v>VEETADAY INDUSTRIES PRIVATE LIMITED</v>
      </c>
      <c r="E8" s="15" t="str">
        <f>'Master Data'!E5</f>
        <v>Lucknow</v>
      </c>
      <c r="F8" s="15" t="str">
        <f>'Master Data'!F5</f>
        <v>Biscuits</v>
      </c>
      <c r="G8" s="15" t="str">
        <f>'Master Data'!G5</f>
        <v>ROZ23738</v>
      </c>
      <c r="H8" s="15" t="str">
        <f>'Master Data'!H5</f>
        <v>Samuh Beat it Bite it Chocolate Cream Biscuit 35 g</v>
      </c>
      <c r="I8" s="23">
        <f>'Master Data'!I5</f>
        <v>5</v>
      </c>
      <c r="J8" s="23">
        <f>'Master Data'!J5</f>
        <v>35</v>
      </c>
      <c r="K8" s="23">
        <f>'Master Data'!K5</f>
        <v>144</v>
      </c>
      <c r="L8" s="24">
        <f>'Master Data'!L5</f>
        <v>0</v>
      </c>
      <c r="M8" s="23">
        <f>'Master Data'!M5</f>
        <v>0</v>
      </c>
      <c r="N8" s="23">
        <f>'Master Data'!N5</f>
        <v>0</v>
      </c>
      <c r="O8" s="23">
        <f>'Master Data'!O5</f>
        <v>0</v>
      </c>
      <c r="P8" s="23">
        <f>'Master Data'!P5</f>
        <v>0</v>
      </c>
      <c r="Q8" s="23">
        <f>'Master Data'!Q5</f>
        <v>0</v>
      </c>
      <c r="R8" s="23">
        <f>'Master Data'!R5</f>
        <v>0</v>
      </c>
      <c r="S8" s="23">
        <f>'Master Data'!S5</f>
        <v>0</v>
      </c>
      <c r="T8" s="23">
        <f>'Master Data'!T5</f>
        <v>0</v>
      </c>
      <c r="U8" s="23">
        <f>'Master Data'!U5</f>
        <v>0</v>
      </c>
      <c r="V8" s="23">
        <f>'Master Data'!V5</f>
        <v>0</v>
      </c>
      <c r="W8" s="23">
        <f>'Master Data'!W5</f>
        <v>0</v>
      </c>
      <c r="X8" s="23">
        <f>'Master Data'!X5</f>
        <v>0</v>
      </c>
      <c r="Y8" s="23">
        <f>'Master Data'!Y5</f>
        <v>0</v>
      </c>
      <c r="Z8" s="23">
        <f>'Master Data'!Z5</f>
        <v>0</v>
      </c>
      <c r="AA8" s="23">
        <f>'Master Data'!AA5</f>
        <v>0</v>
      </c>
      <c r="AB8" s="23">
        <f>'Master Data'!AB5</f>
        <v>0</v>
      </c>
      <c r="AC8" s="23">
        <f>'Master Data'!AC5</f>
        <v>0</v>
      </c>
      <c r="AD8" s="23">
        <f>'Master Data'!AD5</f>
        <v>0</v>
      </c>
      <c r="AE8" s="23">
        <f>'Master Data'!AE5</f>
        <v>0</v>
      </c>
      <c r="AF8" s="23">
        <f>'Master Data'!AF5</f>
        <v>0</v>
      </c>
      <c r="AG8" s="23">
        <f>'Master Data'!AG5</f>
        <v>0</v>
      </c>
      <c r="AH8" s="23">
        <f>'Master Data'!AH5</f>
        <v>0</v>
      </c>
      <c r="AI8" s="23">
        <f>'Master Data'!AI5</f>
        <v>0</v>
      </c>
      <c r="AJ8" s="23">
        <f>'Master Data'!AJ5</f>
        <v>0</v>
      </c>
      <c r="AK8" s="23">
        <f>'Master Data'!AK5</f>
        <v>0</v>
      </c>
      <c r="AL8" s="23">
        <f>'Master Data'!AL5</f>
        <v>0</v>
      </c>
      <c r="AM8" s="23">
        <f>'Master Data'!AM5</f>
        <v>0</v>
      </c>
      <c r="AN8" s="23">
        <f>'Master Data'!AN5</f>
        <v>0</v>
      </c>
      <c r="AO8" s="23">
        <f>'Master Data'!AO5</f>
        <v>0</v>
      </c>
      <c r="AP8" s="23">
        <f>'Master Data'!AP5</f>
        <v>0</v>
      </c>
      <c r="AQ8" s="23">
        <f t="shared" si="2"/>
        <v>0</v>
      </c>
      <c r="AR8" s="16">
        <f t="shared" si="3"/>
        <v>0</v>
      </c>
      <c r="AS8" s="17">
        <f t="shared" si="1"/>
        <v>0</v>
      </c>
      <c r="AT8" s="16">
        <f t="shared" si="4"/>
        <v>0</v>
      </c>
    </row>
    <row r="9" spans="1:46" ht="15" customHeight="1" outlineLevel="1">
      <c r="A9" s="15" t="str">
        <f>'Master Data'!A6</f>
        <v>VEETADAY INDUSTRIES PRIVATE LIMITEDROZ23743</v>
      </c>
      <c r="B9" s="15" t="str">
        <f>'Master Data'!B6</f>
        <v>VD</v>
      </c>
      <c r="C9" s="15" t="str">
        <f>'Master Data'!C6</f>
        <v>VDROZ23743</v>
      </c>
      <c r="D9" s="15" t="str">
        <f>'Master Data'!D6</f>
        <v>VEETADAY INDUSTRIES PRIVATE LIMITED</v>
      </c>
      <c r="E9" s="15" t="str">
        <f>'Master Data'!E6</f>
        <v>Lucknow</v>
      </c>
      <c r="F9" s="15" t="str">
        <f>'Master Data'!F6</f>
        <v>Biscuits</v>
      </c>
      <c r="G9" s="15" t="str">
        <f>'Master Data'!G6</f>
        <v>ROZ23743</v>
      </c>
      <c r="H9" s="15" t="str">
        <f>'Master Data'!H6</f>
        <v>Samuh Butter Cookies Biscuit 32 g</v>
      </c>
      <c r="I9" s="23">
        <f>'Master Data'!I6</f>
        <v>5</v>
      </c>
      <c r="J9" s="23">
        <f>'Master Data'!J6</f>
        <v>32</v>
      </c>
      <c r="K9" s="23">
        <f>'Master Data'!K6</f>
        <v>144</v>
      </c>
      <c r="L9" s="24">
        <f>'Master Data'!L6</f>
        <v>0</v>
      </c>
      <c r="M9" s="23">
        <f>'Master Data'!M6</f>
        <v>0</v>
      </c>
      <c r="N9" s="23">
        <f>'Master Data'!N6</f>
        <v>0</v>
      </c>
      <c r="O9" s="23">
        <f>'Master Data'!O6</f>
        <v>0</v>
      </c>
      <c r="P9" s="23">
        <f>'Master Data'!P6</f>
        <v>0</v>
      </c>
      <c r="Q9" s="23">
        <f>'Master Data'!Q6</f>
        <v>0</v>
      </c>
      <c r="R9" s="23">
        <f>'Master Data'!R6</f>
        <v>0</v>
      </c>
      <c r="S9" s="23">
        <f>'Master Data'!S6</f>
        <v>0</v>
      </c>
      <c r="T9" s="23">
        <f>'Master Data'!T6</f>
        <v>0</v>
      </c>
      <c r="U9" s="23">
        <f>'Master Data'!U6</f>
        <v>0</v>
      </c>
      <c r="V9" s="23">
        <f>'Master Data'!V6</f>
        <v>0</v>
      </c>
      <c r="W9" s="23">
        <f>'Master Data'!W6</f>
        <v>0</v>
      </c>
      <c r="X9" s="23">
        <f>'Master Data'!X6</f>
        <v>0</v>
      </c>
      <c r="Y9" s="23">
        <f>'Master Data'!Y6</f>
        <v>0</v>
      </c>
      <c r="Z9" s="23">
        <f>'Master Data'!Z6</f>
        <v>0</v>
      </c>
      <c r="AA9" s="23">
        <f>'Master Data'!AA6</f>
        <v>0</v>
      </c>
      <c r="AB9" s="23">
        <f>'Master Data'!AB6</f>
        <v>0</v>
      </c>
      <c r="AC9" s="23">
        <f>'Master Data'!AC6</f>
        <v>0</v>
      </c>
      <c r="AD9" s="23">
        <f>'Master Data'!AD6</f>
        <v>0</v>
      </c>
      <c r="AE9" s="23">
        <f>'Master Data'!AE6</f>
        <v>0</v>
      </c>
      <c r="AF9" s="23">
        <f>'Master Data'!AF6</f>
        <v>0</v>
      </c>
      <c r="AG9" s="23">
        <f>'Master Data'!AG6</f>
        <v>0</v>
      </c>
      <c r="AH9" s="23">
        <f>'Master Data'!AH6</f>
        <v>0</v>
      </c>
      <c r="AI9" s="23">
        <f>'Master Data'!AI6</f>
        <v>0</v>
      </c>
      <c r="AJ9" s="23">
        <f>'Master Data'!AJ6</f>
        <v>0</v>
      </c>
      <c r="AK9" s="23">
        <f>'Master Data'!AK6</f>
        <v>0</v>
      </c>
      <c r="AL9" s="23">
        <f>'Master Data'!AL6</f>
        <v>0</v>
      </c>
      <c r="AM9" s="23">
        <f>'Master Data'!AM6</f>
        <v>0</v>
      </c>
      <c r="AN9" s="23">
        <f>'Master Data'!AN6</f>
        <v>0</v>
      </c>
      <c r="AO9" s="23">
        <f>'Master Data'!AO6</f>
        <v>0</v>
      </c>
      <c r="AP9" s="23">
        <f>'Master Data'!AP6</f>
        <v>0</v>
      </c>
      <c r="AQ9" s="23">
        <f t="shared" si="2"/>
        <v>0</v>
      </c>
      <c r="AR9" s="16">
        <f t="shared" si="3"/>
        <v>0</v>
      </c>
      <c r="AS9" s="17">
        <f t="shared" si="1"/>
        <v>0</v>
      </c>
      <c r="AT9" s="16">
        <f t="shared" si="4"/>
        <v>0</v>
      </c>
    </row>
    <row r="10" spans="1:46" ht="15" customHeight="1" outlineLevel="1">
      <c r="A10" s="15" t="str">
        <f>'Master Data'!A7</f>
        <v>VEETADAY INDUSTRIES PRIVATE LIMITEDROZ23740</v>
      </c>
      <c r="B10" s="15" t="str">
        <f>'Master Data'!B7</f>
        <v>VD</v>
      </c>
      <c r="C10" s="15" t="str">
        <f>'Master Data'!C7</f>
        <v>VDROZ23740</v>
      </c>
      <c r="D10" s="15" t="str">
        <f>'Master Data'!D7</f>
        <v>VEETADAY INDUSTRIES PRIVATE LIMITED</v>
      </c>
      <c r="E10" s="15" t="str">
        <f>'Master Data'!E7</f>
        <v>Lucknow</v>
      </c>
      <c r="F10" s="15" t="str">
        <f>'Master Data'!F7</f>
        <v>Biscuits</v>
      </c>
      <c r="G10" s="15" t="str">
        <f>'Master Data'!G7</f>
        <v>ROZ23740</v>
      </c>
      <c r="H10" s="15" t="str">
        <f>'Master Data'!H7</f>
        <v>Samuh Zeera Biscuit 35 g</v>
      </c>
      <c r="I10" s="23">
        <f>'Master Data'!I7</f>
        <v>5</v>
      </c>
      <c r="J10" s="23">
        <f>'Master Data'!J7</f>
        <v>35</v>
      </c>
      <c r="K10" s="23">
        <f>'Master Data'!K7</f>
        <v>144</v>
      </c>
      <c r="L10" s="24">
        <f>'Master Data'!L7</f>
        <v>0</v>
      </c>
      <c r="M10" s="23">
        <f>'Master Data'!M7</f>
        <v>0</v>
      </c>
      <c r="N10" s="23">
        <f>'Master Data'!N7</f>
        <v>0</v>
      </c>
      <c r="O10" s="23">
        <f>'Master Data'!O7</f>
        <v>0</v>
      </c>
      <c r="P10" s="23">
        <f>'Master Data'!P7</f>
        <v>0</v>
      </c>
      <c r="Q10" s="23">
        <f>'Master Data'!Q7</f>
        <v>0</v>
      </c>
      <c r="R10" s="23">
        <f>'Master Data'!R7</f>
        <v>0</v>
      </c>
      <c r="S10" s="23">
        <f>'Master Data'!S7</f>
        <v>0</v>
      </c>
      <c r="T10" s="23">
        <f>'Master Data'!T7</f>
        <v>0</v>
      </c>
      <c r="U10" s="23">
        <f>'Master Data'!U7</f>
        <v>0</v>
      </c>
      <c r="V10" s="23">
        <f>'Master Data'!V7</f>
        <v>0</v>
      </c>
      <c r="W10" s="23">
        <f>'Master Data'!W7</f>
        <v>0</v>
      </c>
      <c r="X10" s="23">
        <f>'Master Data'!X7</f>
        <v>0</v>
      </c>
      <c r="Y10" s="23">
        <f>'Master Data'!Y7</f>
        <v>0</v>
      </c>
      <c r="Z10" s="23">
        <f>'Master Data'!Z7</f>
        <v>0</v>
      </c>
      <c r="AA10" s="23">
        <f>'Master Data'!AA7</f>
        <v>0</v>
      </c>
      <c r="AB10" s="23">
        <f>'Master Data'!AB7</f>
        <v>0</v>
      </c>
      <c r="AC10" s="23">
        <f>'Master Data'!AC7</f>
        <v>0</v>
      </c>
      <c r="AD10" s="23">
        <f>'Master Data'!AD7</f>
        <v>0</v>
      </c>
      <c r="AE10" s="23">
        <f>'Master Data'!AE7</f>
        <v>0</v>
      </c>
      <c r="AF10" s="23">
        <f>'Master Data'!AF7</f>
        <v>0</v>
      </c>
      <c r="AG10" s="23">
        <f>'Master Data'!AG7</f>
        <v>0</v>
      </c>
      <c r="AH10" s="23">
        <f>'Master Data'!AH7</f>
        <v>0</v>
      </c>
      <c r="AI10" s="23">
        <f>'Master Data'!AI7</f>
        <v>0</v>
      </c>
      <c r="AJ10" s="23">
        <f>'Master Data'!AJ7</f>
        <v>0</v>
      </c>
      <c r="AK10" s="23">
        <f>'Master Data'!AK7</f>
        <v>0</v>
      </c>
      <c r="AL10" s="23">
        <f>'Master Data'!AL7</f>
        <v>0</v>
      </c>
      <c r="AM10" s="23">
        <f>'Master Data'!AM7</f>
        <v>0</v>
      </c>
      <c r="AN10" s="23">
        <f>'Master Data'!AN7</f>
        <v>0</v>
      </c>
      <c r="AO10" s="23">
        <f>'Master Data'!AO7</f>
        <v>0</v>
      </c>
      <c r="AP10" s="23">
        <f>'Master Data'!AP7</f>
        <v>0</v>
      </c>
      <c r="AQ10" s="23">
        <f t="shared" si="2"/>
        <v>0</v>
      </c>
      <c r="AR10" s="16">
        <f t="shared" si="3"/>
        <v>0</v>
      </c>
      <c r="AS10" s="17">
        <f t="shared" si="1"/>
        <v>0</v>
      </c>
      <c r="AT10" s="16">
        <f t="shared" si="4"/>
        <v>0</v>
      </c>
    </row>
    <row r="11" spans="1:46" ht="15" customHeight="1" outlineLevel="1">
      <c r="A11" s="15" t="str">
        <f>'Master Data'!A8</f>
        <v>VEETADAY INDUSTRIES PRIVATE LIMITEDROZ23741</v>
      </c>
      <c r="B11" s="15" t="str">
        <f>'Master Data'!B8</f>
        <v>VD</v>
      </c>
      <c r="C11" s="15" t="str">
        <f>'Master Data'!C8</f>
        <v>VDROZ23741</v>
      </c>
      <c r="D11" s="15" t="str">
        <f>'Master Data'!D8</f>
        <v>VEETADAY INDUSTRIES PRIVATE LIMITED</v>
      </c>
      <c r="E11" s="15" t="str">
        <f>'Master Data'!E8</f>
        <v>Lucknow</v>
      </c>
      <c r="F11" s="15" t="str">
        <f>'Master Data'!F8</f>
        <v>Biscuits</v>
      </c>
      <c r="G11" s="15" t="str">
        <f>'Master Data'!G8</f>
        <v>ROZ23741</v>
      </c>
      <c r="H11" s="15" t="str">
        <f>'Master Data'!H8</f>
        <v>Samuh Coconut Cookies Biscuit 35 g</v>
      </c>
      <c r="I11" s="23">
        <f>'Master Data'!I8</f>
        <v>5</v>
      </c>
      <c r="J11" s="23">
        <f>'Master Data'!J8</f>
        <v>35</v>
      </c>
      <c r="K11" s="23">
        <f>'Master Data'!K8</f>
        <v>144</v>
      </c>
      <c r="L11" s="24">
        <f>'Master Data'!L8</f>
        <v>0</v>
      </c>
      <c r="M11" s="23">
        <f>'Master Data'!M8</f>
        <v>0</v>
      </c>
      <c r="N11" s="23">
        <f>'Master Data'!N8</f>
        <v>0</v>
      </c>
      <c r="O11" s="23">
        <f>'Master Data'!O8</f>
        <v>0</v>
      </c>
      <c r="P11" s="23">
        <f>'Master Data'!P8</f>
        <v>0</v>
      </c>
      <c r="Q11" s="23">
        <f>'Master Data'!Q8</f>
        <v>0</v>
      </c>
      <c r="R11" s="23">
        <f>'Master Data'!R8</f>
        <v>0</v>
      </c>
      <c r="S11" s="23">
        <f>'Master Data'!S8</f>
        <v>0</v>
      </c>
      <c r="T11" s="23">
        <f>'Master Data'!T8</f>
        <v>0</v>
      </c>
      <c r="U11" s="23">
        <f>'Master Data'!U8</f>
        <v>0</v>
      </c>
      <c r="V11" s="23">
        <f>'Master Data'!V8</f>
        <v>0</v>
      </c>
      <c r="W11" s="23">
        <f>'Master Data'!W8</f>
        <v>0</v>
      </c>
      <c r="X11" s="23">
        <f>'Master Data'!X8</f>
        <v>0</v>
      </c>
      <c r="Y11" s="23">
        <f>'Master Data'!Y8</f>
        <v>0</v>
      </c>
      <c r="Z11" s="23">
        <f>'Master Data'!Z8</f>
        <v>0</v>
      </c>
      <c r="AA11" s="23">
        <f>'Master Data'!AA8</f>
        <v>0</v>
      </c>
      <c r="AB11" s="23">
        <f>'Master Data'!AB8</f>
        <v>0</v>
      </c>
      <c r="AC11" s="23">
        <f>'Master Data'!AC8</f>
        <v>0</v>
      </c>
      <c r="AD11" s="23">
        <f>'Master Data'!AD8</f>
        <v>0</v>
      </c>
      <c r="AE11" s="23">
        <f>'Master Data'!AE8</f>
        <v>0</v>
      </c>
      <c r="AF11" s="23">
        <f>'Master Data'!AF8</f>
        <v>0</v>
      </c>
      <c r="AG11" s="23">
        <f>'Master Data'!AG8</f>
        <v>0</v>
      </c>
      <c r="AH11" s="23">
        <f>'Master Data'!AH8</f>
        <v>0</v>
      </c>
      <c r="AI11" s="23">
        <f>'Master Data'!AI8</f>
        <v>0</v>
      </c>
      <c r="AJ11" s="23">
        <f>'Master Data'!AJ8</f>
        <v>0</v>
      </c>
      <c r="AK11" s="23">
        <f>'Master Data'!AK8</f>
        <v>0</v>
      </c>
      <c r="AL11" s="23">
        <f>'Master Data'!AL8</f>
        <v>0</v>
      </c>
      <c r="AM11" s="23">
        <f>'Master Data'!AM8</f>
        <v>0</v>
      </c>
      <c r="AN11" s="23">
        <f>'Master Data'!AN8</f>
        <v>0</v>
      </c>
      <c r="AO11" s="23">
        <f>'Master Data'!AO8</f>
        <v>0</v>
      </c>
      <c r="AP11" s="23">
        <f>'Master Data'!AP8</f>
        <v>0</v>
      </c>
      <c r="AQ11" s="23">
        <f t="shared" si="2"/>
        <v>0</v>
      </c>
      <c r="AR11" s="16">
        <f t="shared" si="3"/>
        <v>0</v>
      </c>
      <c r="AS11" s="17">
        <f t="shared" si="1"/>
        <v>0</v>
      </c>
      <c r="AT11" s="16">
        <f t="shared" si="4"/>
        <v>0</v>
      </c>
    </row>
    <row r="12" spans="1:46" ht="15" customHeight="1" outlineLevel="1">
      <c r="A12" s="15" t="str">
        <f>'Master Data'!A9</f>
        <v>VEETADAY INDUSTRIES PRIVATE LIMITEDROZ23742</v>
      </c>
      <c r="B12" s="15" t="str">
        <f>'Master Data'!B9</f>
        <v>VD</v>
      </c>
      <c r="C12" s="15" t="str">
        <f>'Master Data'!C9</f>
        <v>VDROZ23742</v>
      </c>
      <c r="D12" s="15" t="str">
        <f>'Master Data'!D9</f>
        <v>VEETADAY INDUSTRIES PRIVATE LIMITED</v>
      </c>
      <c r="E12" s="15" t="str">
        <f>'Master Data'!E9</f>
        <v>Lucknow</v>
      </c>
      <c r="F12" s="15" t="str">
        <f>'Master Data'!F9</f>
        <v>Biscuits</v>
      </c>
      <c r="G12" s="15" t="str">
        <f>'Master Data'!G9</f>
        <v>ROZ23742</v>
      </c>
      <c r="H12" s="15" t="str">
        <f>'Master Data'!H9</f>
        <v>Samuh Salty Sweety Biscuit 32 g</v>
      </c>
      <c r="I12" s="23">
        <f>'Master Data'!I9</f>
        <v>5</v>
      </c>
      <c r="J12" s="23">
        <f>'Master Data'!J9</f>
        <v>32</v>
      </c>
      <c r="K12" s="23">
        <f>'Master Data'!K9</f>
        <v>144</v>
      </c>
      <c r="L12" s="24">
        <f>'Master Data'!L9</f>
        <v>0</v>
      </c>
      <c r="M12" s="23">
        <f>'Master Data'!M9</f>
        <v>0</v>
      </c>
      <c r="N12" s="23">
        <f>'Master Data'!N9</f>
        <v>0</v>
      </c>
      <c r="O12" s="23">
        <f>'Master Data'!O9</f>
        <v>0</v>
      </c>
      <c r="P12" s="23">
        <f>'Master Data'!P9</f>
        <v>0</v>
      </c>
      <c r="Q12" s="23">
        <f>'Master Data'!Q9</f>
        <v>0</v>
      </c>
      <c r="R12" s="23">
        <f>'Master Data'!R9</f>
        <v>0</v>
      </c>
      <c r="S12" s="23">
        <f>'Master Data'!S9</f>
        <v>0</v>
      </c>
      <c r="T12" s="23">
        <f>'Master Data'!T9</f>
        <v>0</v>
      </c>
      <c r="U12" s="23">
        <f>'Master Data'!U9</f>
        <v>0</v>
      </c>
      <c r="V12" s="23">
        <f>'Master Data'!V9</f>
        <v>0</v>
      </c>
      <c r="W12" s="23">
        <f>'Master Data'!W9</f>
        <v>0</v>
      </c>
      <c r="X12" s="23">
        <f>'Master Data'!X9</f>
        <v>0</v>
      </c>
      <c r="Y12" s="23">
        <f>'Master Data'!Y9</f>
        <v>0</v>
      </c>
      <c r="Z12" s="23">
        <f>'Master Data'!Z9</f>
        <v>0</v>
      </c>
      <c r="AA12" s="23">
        <f>'Master Data'!AA9</f>
        <v>0</v>
      </c>
      <c r="AB12" s="23">
        <f>'Master Data'!AB9</f>
        <v>0</v>
      </c>
      <c r="AC12" s="23">
        <f>'Master Data'!AC9</f>
        <v>0</v>
      </c>
      <c r="AD12" s="23">
        <f>'Master Data'!AD9</f>
        <v>0</v>
      </c>
      <c r="AE12" s="23">
        <f>'Master Data'!AE9</f>
        <v>0</v>
      </c>
      <c r="AF12" s="23">
        <f>'Master Data'!AF9</f>
        <v>0</v>
      </c>
      <c r="AG12" s="23">
        <f>'Master Data'!AG9</f>
        <v>0</v>
      </c>
      <c r="AH12" s="23">
        <f>'Master Data'!AH9</f>
        <v>0</v>
      </c>
      <c r="AI12" s="23">
        <f>'Master Data'!AI9</f>
        <v>0</v>
      </c>
      <c r="AJ12" s="23">
        <f>'Master Data'!AJ9</f>
        <v>0</v>
      </c>
      <c r="AK12" s="23">
        <f>'Master Data'!AK9</f>
        <v>0</v>
      </c>
      <c r="AL12" s="23">
        <f>'Master Data'!AL9</f>
        <v>0</v>
      </c>
      <c r="AM12" s="23">
        <f>'Master Data'!AM9</f>
        <v>0</v>
      </c>
      <c r="AN12" s="23">
        <f>'Master Data'!AN9</f>
        <v>0</v>
      </c>
      <c r="AO12" s="23">
        <f>'Master Data'!AO9</f>
        <v>0</v>
      </c>
      <c r="AP12" s="23">
        <f>'Master Data'!AP9</f>
        <v>0</v>
      </c>
      <c r="AQ12" s="23">
        <f t="shared" si="2"/>
        <v>0</v>
      </c>
      <c r="AR12" s="16">
        <f t="shared" si="3"/>
        <v>0</v>
      </c>
      <c r="AS12" s="17">
        <f t="shared" si="1"/>
        <v>0</v>
      </c>
      <c r="AT12" s="16">
        <f t="shared" si="4"/>
        <v>0</v>
      </c>
    </row>
    <row r="13" spans="1:46" ht="15" customHeight="1" outlineLevel="1">
      <c r="A13" s="15" t="str">
        <f>'Master Data'!A10</f>
        <v>VEETADAY INDUSTRIES PRIVATE LIMITEDROZ36954</v>
      </c>
      <c r="B13" s="15" t="str">
        <f>'Master Data'!B10</f>
        <v>VD</v>
      </c>
      <c r="C13" s="15" t="str">
        <f>'Master Data'!C10</f>
        <v>VDROZ36954</v>
      </c>
      <c r="D13" s="15" t="str">
        <f>'Master Data'!D10</f>
        <v>VEETADAY INDUSTRIES PRIVATE LIMITED</v>
      </c>
      <c r="E13" s="15" t="str">
        <f>'Master Data'!E10</f>
        <v>Lucknow</v>
      </c>
      <c r="F13" s="15" t="str">
        <f>'Master Data'!F10</f>
        <v>Biscuits</v>
      </c>
      <c r="G13" s="15" t="str">
        <f>'Master Data'!G10</f>
        <v>ROZ36954</v>
      </c>
      <c r="H13" s="15" t="str">
        <f>'Master Data'!H10</f>
        <v>Samuh Butter Cashew 30 g</v>
      </c>
      <c r="I13" s="23">
        <f>'Master Data'!I10</f>
        <v>5</v>
      </c>
      <c r="J13" s="23">
        <f>'Master Data'!J10</f>
        <v>30</v>
      </c>
      <c r="K13" s="23">
        <f>'Master Data'!K10</f>
        <v>144</v>
      </c>
      <c r="L13" s="24">
        <f>'Master Data'!L10</f>
        <v>0</v>
      </c>
      <c r="M13" s="23">
        <f>'Master Data'!M10</f>
        <v>0</v>
      </c>
      <c r="N13" s="23">
        <f>'Master Data'!N10</f>
        <v>0</v>
      </c>
      <c r="O13" s="23">
        <f>'Master Data'!O10</f>
        <v>0</v>
      </c>
      <c r="P13" s="23">
        <f>'Master Data'!P10</f>
        <v>0</v>
      </c>
      <c r="Q13" s="23">
        <f>'Master Data'!Q10</f>
        <v>0</v>
      </c>
      <c r="R13" s="23">
        <f>'Master Data'!R10</f>
        <v>0</v>
      </c>
      <c r="S13" s="23">
        <f>'Master Data'!S10</f>
        <v>0</v>
      </c>
      <c r="T13" s="23">
        <f>'Master Data'!T10</f>
        <v>0</v>
      </c>
      <c r="U13" s="23">
        <f>'Master Data'!U10</f>
        <v>0</v>
      </c>
      <c r="V13" s="23">
        <f>'Master Data'!V10</f>
        <v>0</v>
      </c>
      <c r="W13" s="23">
        <f>'Master Data'!W10</f>
        <v>0</v>
      </c>
      <c r="X13" s="23">
        <f>'Master Data'!X10</f>
        <v>0</v>
      </c>
      <c r="Y13" s="23">
        <f>'Master Data'!Y10</f>
        <v>0</v>
      </c>
      <c r="Z13" s="23">
        <f>'Master Data'!Z10</f>
        <v>0</v>
      </c>
      <c r="AA13" s="23">
        <f>'Master Data'!AA10</f>
        <v>0</v>
      </c>
      <c r="AB13" s="23">
        <f>'Master Data'!AB10</f>
        <v>0</v>
      </c>
      <c r="AC13" s="23">
        <f>'Master Data'!AC10</f>
        <v>0</v>
      </c>
      <c r="AD13" s="23">
        <f>'Master Data'!AD10</f>
        <v>0</v>
      </c>
      <c r="AE13" s="23">
        <f>'Master Data'!AE10</f>
        <v>0</v>
      </c>
      <c r="AF13" s="23">
        <f>'Master Data'!AF10</f>
        <v>0</v>
      </c>
      <c r="AG13" s="23">
        <f>'Master Data'!AG10</f>
        <v>0</v>
      </c>
      <c r="AH13" s="23">
        <f>'Master Data'!AH10</f>
        <v>0</v>
      </c>
      <c r="AI13" s="23">
        <f>'Master Data'!AI10</f>
        <v>0</v>
      </c>
      <c r="AJ13" s="23">
        <f>'Master Data'!AJ10</f>
        <v>0</v>
      </c>
      <c r="AK13" s="23">
        <f>'Master Data'!AK10</f>
        <v>0</v>
      </c>
      <c r="AL13" s="23">
        <f>'Master Data'!AL10</f>
        <v>0</v>
      </c>
      <c r="AM13" s="23">
        <f>'Master Data'!AM10</f>
        <v>0</v>
      </c>
      <c r="AN13" s="23">
        <f>'Master Data'!AN10</f>
        <v>0</v>
      </c>
      <c r="AO13" s="23">
        <f>'Master Data'!AO10</f>
        <v>0</v>
      </c>
      <c r="AP13" s="23">
        <f>'Master Data'!AP10</f>
        <v>0</v>
      </c>
      <c r="AQ13" s="23">
        <f t="shared" si="2"/>
        <v>0</v>
      </c>
      <c r="AR13" s="16">
        <f t="shared" si="3"/>
        <v>0</v>
      </c>
      <c r="AS13" s="17">
        <f t="shared" si="1"/>
        <v>0</v>
      </c>
      <c r="AT13" s="16">
        <f t="shared" si="4"/>
        <v>0</v>
      </c>
    </row>
    <row r="14" spans="1:46" ht="15" customHeight="1" outlineLevel="1">
      <c r="A14" s="15" t="str">
        <f>'Master Data'!A11</f>
        <v>VEETADAY INDUSTRIES PRIVATE LIMITEDROZ36955</v>
      </c>
      <c r="B14" s="15" t="str">
        <f>'Master Data'!B11</f>
        <v>VD</v>
      </c>
      <c r="C14" s="15" t="str">
        <f>'Master Data'!C11</f>
        <v>VDROZ36955</v>
      </c>
      <c r="D14" s="15" t="str">
        <f>'Master Data'!D11</f>
        <v>VEETADAY INDUSTRIES PRIVATE LIMITED</v>
      </c>
      <c r="E14" s="15" t="str">
        <f>'Master Data'!E11</f>
        <v>Lucknow</v>
      </c>
      <c r="F14" s="15" t="str">
        <f>'Master Data'!F11</f>
        <v>Biscuits</v>
      </c>
      <c r="G14" s="15" t="str">
        <f>'Master Data'!G11</f>
        <v>ROZ36955</v>
      </c>
      <c r="H14" s="15" t="str">
        <f>'Master Data'!H11</f>
        <v>Samuh Beat it Bite it Chocolate Cream Biscuit 70 g</v>
      </c>
      <c r="I14" s="23">
        <f>'Master Data'!I11</f>
        <v>10</v>
      </c>
      <c r="J14" s="23">
        <f>'Master Data'!J11</f>
        <v>70</v>
      </c>
      <c r="K14" s="23">
        <f>'Master Data'!K11</f>
        <v>60</v>
      </c>
      <c r="L14" s="24">
        <f>'Master Data'!L11</f>
        <v>0</v>
      </c>
      <c r="M14" s="23">
        <f>'Master Data'!M11</f>
        <v>0</v>
      </c>
      <c r="N14" s="23">
        <f>'Master Data'!N11</f>
        <v>0</v>
      </c>
      <c r="O14" s="23">
        <f>'Master Data'!O11</f>
        <v>0</v>
      </c>
      <c r="P14" s="23">
        <f>'Master Data'!P11</f>
        <v>0</v>
      </c>
      <c r="Q14" s="23">
        <f>'Master Data'!Q11</f>
        <v>0</v>
      </c>
      <c r="R14" s="23">
        <f>'Master Data'!R11</f>
        <v>0</v>
      </c>
      <c r="S14" s="23">
        <f>'Master Data'!S11</f>
        <v>0</v>
      </c>
      <c r="T14" s="23">
        <f>'Master Data'!T11</f>
        <v>0</v>
      </c>
      <c r="U14" s="23">
        <f>'Master Data'!U11</f>
        <v>0</v>
      </c>
      <c r="V14" s="23">
        <f>'Master Data'!V11</f>
        <v>0</v>
      </c>
      <c r="W14" s="23">
        <f>'Master Data'!W11</f>
        <v>0</v>
      </c>
      <c r="X14" s="23">
        <f>'Master Data'!X11</f>
        <v>0</v>
      </c>
      <c r="Y14" s="23">
        <f>'Master Data'!Y11</f>
        <v>0</v>
      </c>
      <c r="Z14" s="23">
        <f>'Master Data'!Z11</f>
        <v>0</v>
      </c>
      <c r="AA14" s="23">
        <f>'Master Data'!AA11</f>
        <v>0</v>
      </c>
      <c r="AB14" s="23">
        <f>'Master Data'!AB11</f>
        <v>0</v>
      </c>
      <c r="AC14" s="23">
        <f>'Master Data'!AC11</f>
        <v>0</v>
      </c>
      <c r="AD14" s="23">
        <f>'Master Data'!AD11</f>
        <v>0</v>
      </c>
      <c r="AE14" s="23">
        <f>'Master Data'!AE11</f>
        <v>0</v>
      </c>
      <c r="AF14" s="23">
        <f>'Master Data'!AF11</f>
        <v>0</v>
      </c>
      <c r="AG14" s="23">
        <f>'Master Data'!AG11</f>
        <v>0</v>
      </c>
      <c r="AH14" s="23">
        <f>'Master Data'!AH11</f>
        <v>0</v>
      </c>
      <c r="AI14" s="23">
        <f>'Master Data'!AI11</f>
        <v>0</v>
      </c>
      <c r="AJ14" s="23">
        <f>'Master Data'!AJ11</f>
        <v>0</v>
      </c>
      <c r="AK14" s="23">
        <f>'Master Data'!AK11</f>
        <v>0</v>
      </c>
      <c r="AL14" s="23">
        <f>'Master Data'!AL11</f>
        <v>0</v>
      </c>
      <c r="AM14" s="23">
        <f>'Master Data'!AM11</f>
        <v>0</v>
      </c>
      <c r="AN14" s="23">
        <f>'Master Data'!AN11</f>
        <v>0</v>
      </c>
      <c r="AO14" s="23">
        <f>'Master Data'!AO11</f>
        <v>0</v>
      </c>
      <c r="AP14" s="23">
        <f>'Master Data'!AP11</f>
        <v>0</v>
      </c>
      <c r="AQ14" s="23">
        <f t="shared" si="2"/>
        <v>0</v>
      </c>
      <c r="AR14" s="16">
        <f t="shared" si="3"/>
        <v>0</v>
      </c>
      <c r="AS14" s="17">
        <f t="shared" si="1"/>
        <v>0</v>
      </c>
      <c r="AT14" s="16">
        <f t="shared" si="4"/>
        <v>0</v>
      </c>
    </row>
    <row r="15" spans="1:46" ht="15" customHeight="1" outlineLevel="1">
      <c r="A15" s="15" t="str">
        <f>'Master Data'!A12</f>
        <v>VEETADAY INDUSTRIES PRIVATE LIMITEDROZ36956</v>
      </c>
      <c r="B15" s="15" t="str">
        <f>'Master Data'!B12</f>
        <v>VD</v>
      </c>
      <c r="C15" s="15" t="str">
        <f>'Master Data'!C12</f>
        <v>VDROZ36956</v>
      </c>
      <c r="D15" s="15" t="str">
        <f>'Master Data'!D12</f>
        <v>VEETADAY INDUSTRIES PRIVATE LIMITED</v>
      </c>
      <c r="E15" s="15" t="str">
        <f>'Master Data'!E12</f>
        <v>Lucknow</v>
      </c>
      <c r="F15" s="15" t="str">
        <f>'Master Data'!F12</f>
        <v>Biscuits</v>
      </c>
      <c r="G15" s="15" t="str">
        <f>'Master Data'!G12</f>
        <v>ROZ36956</v>
      </c>
      <c r="H15" s="15" t="str">
        <f>'Master Data'!H12</f>
        <v>Samuh Beat it! Bite it! Orange Cream Biscuit 70 g</v>
      </c>
      <c r="I15" s="23">
        <f>'Master Data'!I12</f>
        <v>10</v>
      </c>
      <c r="J15" s="23">
        <f>'Master Data'!J12</f>
        <v>70</v>
      </c>
      <c r="K15" s="23">
        <f>'Master Data'!K12</f>
        <v>60</v>
      </c>
      <c r="L15" s="24">
        <f>'Master Data'!L12</f>
        <v>0</v>
      </c>
      <c r="M15" s="23">
        <f>'Master Data'!M12</f>
        <v>0</v>
      </c>
      <c r="N15" s="23">
        <f>'Master Data'!N12</f>
        <v>0</v>
      </c>
      <c r="O15" s="23">
        <f>'Master Data'!O12</f>
        <v>0</v>
      </c>
      <c r="P15" s="23">
        <f>'Master Data'!P12</f>
        <v>0</v>
      </c>
      <c r="Q15" s="23">
        <f>'Master Data'!Q12</f>
        <v>0</v>
      </c>
      <c r="R15" s="23">
        <f>'Master Data'!R12</f>
        <v>0</v>
      </c>
      <c r="S15" s="23">
        <f>'Master Data'!S12</f>
        <v>0</v>
      </c>
      <c r="T15" s="23">
        <f>'Master Data'!T12</f>
        <v>0</v>
      </c>
      <c r="U15" s="23">
        <f>'Master Data'!U12</f>
        <v>0</v>
      </c>
      <c r="V15" s="23">
        <f>'Master Data'!V12</f>
        <v>0</v>
      </c>
      <c r="W15" s="23">
        <f>'Master Data'!W12</f>
        <v>0</v>
      </c>
      <c r="X15" s="23">
        <f>'Master Data'!X12</f>
        <v>0</v>
      </c>
      <c r="Y15" s="23">
        <f>'Master Data'!Y12</f>
        <v>0</v>
      </c>
      <c r="Z15" s="23">
        <f>'Master Data'!Z12</f>
        <v>0</v>
      </c>
      <c r="AA15" s="23">
        <f>'Master Data'!AA12</f>
        <v>0</v>
      </c>
      <c r="AB15" s="23">
        <f>'Master Data'!AB12</f>
        <v>0</v>
      </c>
      <c r="AC15" s="23">
        <f>'Master Data'!AC12</f>
        <v>0</v>
      </c>
      <c r="AD15" s="23">
        <f>'Master Data'!AD12</f>
        <v>0</v>
      </c>
      <c r="AE15" s="23">
        <f>'Master Data'!AE12</f>
        <v>0</v>
      </c>
      <c r="AF15" s="23">
        <f>'Master Data'!AF12</f>
        <v>0</v>
      </c>
      <c r="AG15" s="23">
        <f>'Master Data'!AG12</f>
        <v>0</v>
      </c>
      <c r="AH15" s="23">
        <f>'Master Data'!AH12</f>
        <v>0</v>
      </c>
      <c r="AI15" s="23">
        <f>'Master Data'!AI12</f>
        <v>0</v>
      </c>
      <c r="AJ15" s="23">
        <f>'Master Data'!AJ12</f>
        <v>0</v>
      </c>
      <c r="AK15" s="23">
        <f>'Master Data'!AK12</f>
        <v>0</v>
      </c>
      <c r="AL15" s="23">
        <f>'Master Data'!AL12</f>
        <v>0</v>
      </c>
      <c r="AM15" s="23">
        <f>'Master Data'!AM12</f>
        <v>0</v>
      </c>
      <c r="AN15" s="23">
        <f>'Master Data'!AN12</f>
        <v>0</v>
      </c>
      <c r="AO15" s="23">
        <f>'Master Data'!AO12</f>
        <v>0</v>
      </c>
      <c r="AP15" s="23">
        <f>'Master Data'!AP12</f>
        <v>0</v>
      </c>
      <c r="AQ15" s="23">
        <f t="shared" si="2"/>
        <v>0</v>
      </c>
      <c r="AR15" s="16">
        <f t="shared" si="3"/>
        <v>0</v>
      </c>
      <c r="AS15" s="17">
        <f t="shared" si="1"/>
        <v>0</v>
      </c>
      <c r="AT15" s="16">
        <f t="shared" si="4"/>
        <v>0</v>
      </c>
    </row>
    <row r="16" spans="1:46" ht="15" customHeight="1" outlineLevel="1">
      <c r="A16" s="15" t="str">
        <f>'Master Data'!A13</f>
        <v>VEETADAY INDUSTRIES PRIVATE LIMITEDROZ36957</v>
      </c>
      <c r="B16" s="15" t="str">
        <f>'Master Data'!B13</f>
        <v>VD</v>
      </c>
      <c r="C16" s="15" t="str">
        <f>'Master Data'!C13</f>
        <v>VDROZ36957</v>
      </c>
      <c r="D16" s="15" t="str">
        <f>'Master Data'!D13</f>
        <v>VEETADAY INDUSTRIES PRIVATE LIMITED</v>
      </c>
      <c r="E16" s="15" t="str">
        <f>'Master Data'!E13</f>
        <v>Lucknow</v>
      </c>
      <c r="F16" s="15" t="str">
        <f>'Master Data'!F13</f>
        <v>Biscuits</v>
      </c>
      <c r="G16" s="15" t="str">
        <f>'Master Data'!G13</f>
        <v>ROZ36957</v>
      </c>
      <c r="H16" s="15" t="str">
        <f>'Master Data'!H13</f>
        <v>Samuh Coconut Cookies Biscuit 70g</v>
      </c>
      <c r="I16" s="23">
        <f>'Master Data'!I13</f>
        <v>10</v>
      </c>
      <c r="J16" s="23">
        <f>'Master Data'!J13</f>
        <v>70</v>
      </c>
      <c r="K16" s="23">
        <f>'Master Data'!K13</f>
        <v>60</v>
      </c>
      <c r="L16" s="24">
        <f>'Master Data'!L13</f>
        <v>0</v>
      </c>
      <c r="M16" s="23">
        <f>'Master Data'!M13</f>
        <v>0</v>
      </c>
      <c r="N16" s="23">
        <f>'Master Data'!N13</f>
        <v>0</v>
      </c>
      <c r="O16" s="23">
        <f>'Master Data'!O13</f>
        <v>0</v>
      </c>
      <c r="P16" s="23">
        <f>'Master Data'!P13</f>
        <v>0</v>
      </c>
      <c r="Q16" s="23">
        <f>'Master Data'!Q13</f>
        <v>0</v>
      </c>
      <c r="R16" s="23">
        <f>'Master Data'!R13</f>
        <v>0</v>
      </c>
      <c r="S16" s="23">
        <f>'Master Data'!S13</f>
        <v>0</v>
      </c>
      <c r="T16" s="23">
        <f>'Master Data'!T13</f>
        <v>0</v>
      </c>
      <c r="U16" s="23">
        <f>'Master Data'!U13</f>
        <v>0</v>
      </c>
      <c r="V16" s="23">
        <f>'Master Data'!V13</f>
        <v>0</v>
      </c>
      <c r="W16" s="23">
        <f>'Master Data'!W13</f>
        <v>0</v>
      </c>
      <c r="X16" s="23">
        <f>'Master Data'!X13</f>
        <v>0</v>
      </c>
      <c r="Y16" s="23">
        <f>'Master Data'!Y13</f>
        <v>0</v>
      </c>
      <c r="Z16" s="23">
        <f>'Master Data'!Z13</f>
        <v>0</v>
      </c>
      <c r="AA16" s="23">
        <f>'Master Data'!AA13</f>
        <v>0</v>
      </c>
      <c r="AB16" s="23">
        <f>'Master Data'!AB13</f>
        <v>0</v>
      </c>
      <c r="AC16" s="23">
        <f>'Master Data'!AC13</f>
        <v>0</v>
      </c>
      <c r="AD16" s="23">
        <f>'Master Data'!AD13</f>
        <v>0</v>
      </c>
      <c r="AE16" s="23">
        <f>'Master Data'!AE13</f>
        <v>0</v>
      </c>
      <c r="AF16" s="23">
        <f>'Master Data'!AF13</f>
        <v>0</v>
      </c>
      <c r="AG16" s="23">
        <f>'Master Data'!AG13</f>
        <v>0</v>
      </c>
      <c r="AH16" s="23">
        <f>'Master Data'!AH13</f>
        <v>0</v>
      </c>
      <c r="AI16" s="23">
        <f>'Master Data'!AI13</f>
        <v>0</v>
      </c>
      <c r="AJ16" s="23">
        <f>'Master Data'!AJ13</f>
        <v>0</v>
      </c>
      <c r="AK16" s="23">
        <f>'Master Data'!AK13</f>
        <v>0</v>
      </c>
      <c r="AL16" s="23">
        <f>'Master Data'!AL13</f>
        <v>0</v>
      </c>
      <c r="AM16" s="23">
        <f>'Master Data'!AM13</f>
        <v>0</v>
      </c>
      <c r="AN16" s="23">
        <f>'Master Data'!AN13</f>
        <v>0</v>
      </c>
      <c r="AO16" s="23">
        <f>'Master Data'!AO13</f>
        <v>0</v>
      </c>
      <c r="AP16" s="23">
        <f>'Master Data'!AP13</f>
        <v>0</v>
      </c>
      <c r="AQ16" s="23">
        <f t="shared" si="2"/>
        <v>0</v>
      </c>
      <c r="AR16" s="16">
        <f t="shared" si="3"/>
        <v>0</v>
      </c>
      <c r="AS16" s="17">
        <f t="shared" si="1"/>
        <v>0</v>
      </c>
      <c r="AT16" s="16">
        <f t="shared" si="4"/>
        <v>0</v>
      </c>
    </row>
    <row r="17" spans="1:46" ht="15" customHeight="1" outlineLevel="1">
      <c r="A17" s="15" t="str">
        <f>'Master Data'!A14</f>
        <v>VEETADAY INDUSTRIES PRIVATE LIMITEDROZ39495</v>
      </c>
      <c r="B17" s="15" t="str">
        <f>'Master Data'!B14</f>
        <v>VD</v>
      </c>
      <c r="C17" s="15" t="str">
        <f>'Master Data'!C14</f>
        <v>VDROZ39495</v>
      </c>
      <c r="D17" s="15" t="str">
        <f>'Master Data'!D14</f>
        <v>VEETADAY INDUSTRIES PRIVATE LIMITED</v>
      </c>
      <c r="E17" s="15" t="str">
        <f>'Master Data'!E14</f>
        <v>Lucknow</v>
      </c>
      <c r="F17" s="15" t="str">
        <f>'Master Data'!F14</f>
        <v>Biscuits</v>
      </c>
      <c r="G17" s="15" t="str">
        <f>'Master Data'!G14</f>
        <v>ROZ39495</v>
      </c>
      <c r="H17" s="15" t="str">
        <f>'Master Data'!H14</f>
        <v>Samuh Milky Biscuit 70 g</v>
      </c>
      <c r="I17" s="23">
        <f>'Master Data'!I14</f>
        <v>10</v>
      </c>
      <c r="J17" s="23">
        <f>'Master Data'!J14</f>
        <v>70</v>
      </c>
      <c r="K17" s="23">
        <f>'Master Data'!K14</f>
        <v>72</v>
      </c>
      <c r="L17" s="24">
        <f>'Master Data'!L14</f>
        <v>0</v>
      </c>
      <c r="M17" s="23">
        <f>'Master Data'!M14</f>
        <v>0</v>
      </c>
      <c r="N17" s="23">
        <f>'Master Data'!N14</f>
        <v>0</v>
      </c>
      <c r="O17" s="23">
        <f>'Master Data'!O14</f>
        <v>0</v>
      </c>
      <c r="P17" s="23">
        <f>'Master Data'!P14</f>
        <v>0</v>
      </c>
      <c r="Q17" s="23">
        <f>'Master Data'!Q14</f>
        <v>0</v>
      </c>
      <c r="R17" s="23">
        <f>'Master Data'!R14</f>
        <v>0</v>
      </c>
      <c r="S17" s="23">
        <f>'Master Data'!S14</f>
        <v>0</v>
      </c>
      <c r="T17" s="23">
        <f>'Master Data'!T14</f>
        <v>0</v>
      </c>
      <c r="U17" s="23">
        <f>'Master Data'!U14</f>
        <v>0</v>
      </c>
      <c r="V17" s="23">
        <f>'Master Data'!V14</f>
        <v>0</v>
      </c>
      <c r="W17" s="23">
        <f>'Master Data'!W14</f>
        <v>0</v>
      </c>
      <c r="X17" s="23">
        <f>'Master Data'!X14</f>
        <v>0</v>
      </c>
      <c r="Y17" s="23">
        <f>'Master Data'!Y14</f>
        <v>0</v>
      </c>
      <c r="Z17" s="23">
        <f>'Master Data'!Z14</f>
        <v>0</v>
      </c>
      <c r="AA17" s="23">
        <f>'Master Data'!AA14</f>
        <v>0</v>
      </c>
      <c r="AB17" s="23">
        <f>'Master Data'!AB14</f>
        <v>0</v>
      </c>
      <c r="AC17" s="23">
        <f>'Master Data'!AC14</f>
        <v>0</v>
      </c>
      <c r="AD17" s="23">
        <f>'Master Data'!AD14</f>
        <v>0</v>
      </c>
      <c r="AE17" s="23">
        <f>'Master Data'!AE14</f>
        <v>0</v>
      </c>
      <c r="AF17" s="23">
        <f>'Master Data'!AF14</f>
        <v>0</v>
      </c>
      <c r="AG17" s="23">
        <f>'Master Data'!AG14</f>
        <v>0</v>
      </c>
      <c r="AH17" s="23">
        <f>'Master Data'!AH14</f>
        <v>0</v>
      </c>
      <c r="AI17" s="23">
        <f>'Master Data'!AI14</f>
        <v>0</v>
      </c>
      <c r="AJ17" s="23">
        <f>'Master Data'!AJ14</f>
        <v>0</v>
      </c>
      <c r="AK17" s="23">
        <f>'Master Data'!AK14</f>
        <v>0</v>
      </c>
      <c r="AL17" s="23">
        <f>'Master Data'!AL14</f>
        <v>0</v>
      </c>
      <c r="AM17" s="23">
        <f>'Master Data'!AM14</f>
        <v>0</v>
      </c>
      <c r="AN17" s="23">
        <f>'Master Data'!AN14</f>
        <v>0</v>
      </c>
      <c r="AO17" s="23">
        <f>'Master Data'!AO14</f>
        <v>0</v>
      </c>
      <c r="AP17" s="23">
        <f>'Master Data'!AP14</f>
        <v>0</v>
      </c>
      <c r="AQ17" s="23">
        <f t="shared" si="2"/>
        <v>0</v>
      </c>
      <c r="AR17" s="16">
        <f t="shared" si="3"/>
        <v>0</v>
      </c>
      <c r="AS17" s="17">
        <f t="shared" si="1"/>
        <v>0</v>
      </c>
      <c r="AT17" s="16">
        <f t="shared" si="4"/>
        <v>0</v>
      </c>
    </row>
    <row r="18" spans="1:46" ht="15" customHeight="1" outlineLevel="1">
      <c r="A18" s="15" t="str">
        <f>'Master Data'!A15</f>
        <v>VEETADAY INDUSTRIES PRIVATE LIMITEDROZ36959</v>
      </c>
      <c r="B18" s="15" t="str">
        <f>'Master Data'!B15</f>
        <v>VD</v>
      </c>
      <c r="C18" s="15" t="str">
        <f>'Master Data'!C15</f>
        <v>VDROZ36959</v>
      </c>
      <c r="D18" s="15" t="str">
        <f>'Master Data'!D15</f>
        <v>VEETADAY INDUSTRIES PRIVATE LIMITED</v>
      </c>
      <c r="E18" s="15" t="str">
        <f>'Master Data'!E15</f>
        <v>Lucknow</v>
      </c>
      <c r="F18" s="15" t="str">
        <f>'Master Data'!F15</f>
        <v>Biscuits</v>
      </c>
      <c r="G18" s="15" t="str">
        <f>'Master Data'!G15</f>
        <v>ROZ36959</v>
      </c>
      <c r="H18" s="15" t="str">
        <f>'Master Data'!H15</f>
        <v>Samuh Salty Sweety Biscuit 65 g</v>
      </c>
      <c r="I18" s="23">
        <f>'Master Data'!I15</f>
        <v>10</v>
      </c>
      <c r="J18" s="23">
        <f>'Master Data'!J15</f>
        <v>65</v>
      </c>
      <c r="K18" s="23">
        <f>'Master Data'!K15</f>
        <v>60</v>
      </c>
      <c r="L18" s="24">
        <f>'Master Data'!L15</f>
        <v>0</v>
      </c>
      <c r="M18" s="23">
        <f>'Master Data'!M15</f>
        <v>0</v>
      </c>
      <c r="N18" s="23">
        <f>'Master Data'!N15</f>
        <v>0</v>
      </c>
      <c r="O18" s="23">
        <f>'Master Data'!O15</f>
        <v>0</v>
      </c>
      <c r="P18" s="23">
        <f>'Master Data'!P15</f>
        <v>0</v>
      </c>
      <c r="Q18" s="23">
        <f>'Master Data'!Q15</f>
        <v>0</v>
      </c>
      <c r="R18" s="23">
        <f>'Master Data'!R15</f>
        <v>0</v>
      </c>
      <c r="S18" s="23">
        <f>'Master Data'!S15</f>
        <v>0</v>
      </c>
      <c r="T18" s="23">
        <f>'Master Data'!T15</f>
        <v>0</v>
      </c>
      <c r="U18" s="23">
        <f>'Master Data'!U15</f>
        <v>0</v>
      </c>
      <c r="V18" s="23">
        <f>'Master Data'!V15</f>
        <v>0</v>
      </c>
      <c r="W18" s="23">
        <f>'Master Data'!W15</f>
        <v>0</v>
      </c>
      <c r="X18" s="23">
        <f>'Master Data'!X15</f>
        <v>0</v>
      </c>
      <c r="Y18" s="23">
        <f>'Master Data'!Y15</f>
        <v>0</v>
      </c>
      <c r="Z18" s="23">
        <f>'Master Data'!Z15</f>
        <v>0</v>
      </c>
      <c r="AA18" s="23">
        <f>'Master Data'!AA15</f>
        <v>0</v>
      </c>
      <c r="AB18" s="23">
        <f>'Master Data'!AB15</f>
        <v>0</v>
      </c>
      <c r="AC18" s="23">
        <f>'Master Data'!AC15</f>
        <v>0</v>
      </c>
      <c r="AD18" s="23">
        <f>'Master Data'!AD15</f>
        <v>0</v>
      </c>
      <c r="AE18" s="23">
        <f>'Master Data'!AE15</f>
        <v>0</v>
      </c>
      <c r="AF18" s="23">
        <f>'Master Data'!AF15</f>
        <v>0</v>
      </c>
      <c r="AG18" s="23">
        <f>'Master Data'!AG15</f>
        <v>0</v>
      </c>
      <c r="AH18" s="23">
        <f>'Master Data'!AH15</f>
        <v>0</v>
      </c>
      <c r="AI18" s="23">
        <f>'Master Data'!AI15</f>
        <v>0</v>
      </c>
      <c r="AJ18" s="23">
        <f>'Master Data'!AJ15</f>
        <v>0</v>
      </c>
      <c r="AK18" s="23">
        <f>'Master Data'!AK15</f>
        <v>0</v>
      </c>
      <c r="AL18" s="23">
        <f>'Master Data'!AL15</f>
        <v>0</v>
      </c>
      <c r="AM18" s="23">
        <f>'Master Data'!AM15</f>
        <v>0</v>
      </c>
      <c r="AN18" s="23">
        <f>'Master Data'!AN15</f>
        <v>0</v>
      </c>
      <c r="AO18" s="23">
        <f>'Master Data'!AO15</f>
        <v>0</v>
      </c>
      <c r="AP18" s="23">
        <f>'Master Data'!AP15</f>
        <v>0</v>
      </c>
      <c r="AQ18" s="23">
        <f t="shared" si="2"/>
        <v>0</v>
      </c>
      <c r="AR18" s="16">
        <f t="shared" si="3"/>
        <v>0</v>
      </c>
      <c r="AS18" s="17">
        <f t="shared" si="1"/>
        <v>0</v>
      </c>
      <c r="AT18" s="16">
        <f t="shared" si="4"/>
        <v>0</v>
      </c>
    </row>
    <row r="19" spans="1:46" ht="15" customHeight="1" outlineLevel="1">
      <c r="A19" s="15" t="str">
        <f>'Master Data'!A16</f>
        <v>VEETADAY INDUSTRIES PRIVATE LIMITEDROZ36958</v>
      </c>
      <c r="B19" s="15" t="str">
        <f>'Master Data'!B16</f>
        <v>VD</v>
      </c>
      <c r="C19" s="15" t="str">
        <f>'Master Data'!C16</f>
        <v>VDROZ36958</v>
      </c>
      <c r="D19" s="15" t="str">
        <f>'Master Data'!D16</f>
        <v>VEETADAY INDUSTRIES PRIVATE LIMITED</v>
      </c>
      <c r="E19" s="15" t="str">
        <f>'Master Data'!E16</f>
        <v>Lucknow</v>
      </c>
      <c r="F19" s="15" t="str">
        <f>'Master Data'!F16</f>
        <v>Biscuits</v>
      </c>
      <c r="G19" s="15" t="str">
        <f>'Master Data'!G16</f>
        <v>ROZ36958</v>
      </c>
      <c r="H19" s="15" t="str">
        <f>'Master Data'!H16</f>
        <v>Samuh Butter Cookies Biscuit 65g</v>
      </c>
      <c r="I19" s="23">
        <f>'Master Data'!I16</f>
        <v>10</v>
      </c>
      <c r="J19" s="23">
        <f>'Master Data'!J16</f>
        <v>65</v>
      </c>
      <c r="K19" s="23">
        <f>'Master Data'!K16</f>
        <v>60</v>
      </c>
      <c r="L19" s="24">
        <f>'Master Data'!L16</f>
        <v>0</v>
      </c>
      <c r="M19" s="23">
        <f>'Master Data'!M16</f>
        <v>0</v>
      </c>
      <c r="N19" s="23">
        <f>'Master Data'!N16</f>
        <v>0</v>
      </c>
      <c r="O19" s="23">
        <f>'Master Data'!O16</f>
        <v>0</v>
      </c>
      <c r="P19" s="23">
        <f>'Master Data'!P16</f>
        <v>0</v>
      </c>
      <c r="Q19" s="23">
        <f>'Master Data'!Q16</f>
        <v>0</v>
      </c>
      <c r="R19" s="23">
        <f>'Master Data'!R16</f>
        <v>0</v>
      </c>
      <c r="S19" s="23">
        <f>'Master Data'!S16</f>
        <v>0</v>
      </c>
      <c r="T19" s="23">
        <f>'Master Data'!T16</f>
        <v>0</v>
      </c>
      <c r="U19" s="23">
        <f>'Master Data'!U16</f>
        <v>0</v>
      </c>
      <c r="V19" s="23">
        <f>'Master Data'!V16</f>
        <v>0</v>
      </c>
      <c r="W19" s="23">
        <f>'Master Data'!W16</f>
        <v>0</v>
      </c>
      <c r="X19" s="23">
        <f>'Master Data'!X16</f>
        <v>0</v>
      </c>
      <c r="Y19" s="23">
        <f>'Master Data'!Y16</f>
        <v>0</v>
      </c>
      <c r="Z19" s="23">
        <f>'Master Data'!Z16</f>
        <v>0</v>
      </c>
      <c r="AA19" s="23">
        <f>'Master Data'!AA16</f>
        <v>0</v>
      </c>
      <c r="AB19" s="23">
        <f>'Master Data'!AB16</f>
        <v>0</v>
      </c>
      <c r="AC19" s="23">
        <f>'Master Data'!AC16</f>
        <v>0</v>
      </c>
      <c r="AD19" s="23">
        <f>'Master Data'!AD16</f>
        <v>0</v>
      </c>
      <c r="AE19" s="23">
        <f>'Master Data'!AE16</f>
        <v>0</v>
      </c>
      <c r="AF19" s="23">
        <f>'Master Data'!AF16</f>
        <v>0</v>
      </c>
      <c r="AG19" s="23">
        <f>'Master Data'!AG16</f>
        <v>0</v>
      </c>
      <c r="AH19" s="23">
        <f>'Master Data'!AH16</f>
        <v>0</v>
      </c>
      <c r="AI19" s="23">
        <f>'Master Data'!AI16</f>
        <v>0</v>
      </c>
      <c r="AJ19" s="23">
        <f>'Master Data'!AJ16</f>
        <v>0</v>
      </c>
      <c r="AK19" s="23">
        <f>'Master Data'!AK16</f>
        <v>0</v>
      </c>
      <c r="AL19" s="23">
        <f>'Master Data'!AL16</f>
        <v>0</v>
      </c>
      <c r="AM19" s="23">
        <f>'Master Data'!AM16</f>
        <v>0</v>
      </c>
      <c r="AN19" s="23">
        <f>'Master Data'!AN16</f>
        <v>0</v>
      </c>
      <c r="AO19" s="23">
        <f>'Master Data'!AO16</f>
        <v>0</v>
      </c>
      <c r="AP19" s="23">
        <f>'Master Data'!AP16</f>
        <v>0</v>
      </c>
      <c r="AQ19" s="23">
        <f t="shared" si="2"/>
        <v>0</v>
      </c>
      <c r="AR19" s="16">
        <f t="shared" si="3"/>
        <v>0</v>
      </c>
      <c r="AS19" s="17">
        <f t="shared" si="1"/>
        <v>0</v>
      </c>
      <c r="AT19" s="16">
        <f t="shared" si="4"/>
        <v>0</v>
      </c>
    </row>
    <row r="20" spans="1:46" ht="15" customHeight="1" outlineLevel="1">
      <c r="A20" s="15" t="str">
        <f>'Master Data'!A17</f>
        <v>VEETADAY INDUSTRIES PRIVATE LIMITEDROZ36962</v>
      </c>
      <c r="B20" s="15" t="str">
        <f>'Master Data'!B17</f>
        <v>VD</v>
      </c>
      <c r="C20" s="15" t="str">
        <f>'Master Data'!C17</f>
        <v>VDROZ36962</v>
      </c>
      <c r="D20" s="15" t="str">
        <f>'Master Data'!D17</f>
        <v>VEETADAY INDUSTRIES PRIVATE LIMITED</v>
      </c>
      <c r="E20" s="15" t="str">
        <f>'Master Data'!E17</f>
        <v>Lucknow</v>
      </c>
      <c r="F20" s="15" t="str">
        <f>'Master Data'!F17</f>
        <v>Biscuits</v>
      </c>
      <c r="G20" s="15" t="str">
        <f>'Master Data'!G17</f>
        <v>ROZ36962</v>
      </c>
      <c r="H20" s="15" t="str">
        <f>'Master Data'!H17</f>
        <v>Samuh Marie Biscuit 75g</v>
      </c>
      <c r="I20" s="23">
        <f>'Master Data'!I17</f>
        <v>10</v>
      </c>
      <c r="J20" s="23">
        <f>'Master Data'!J17</f>
        <v>75</v>
      </c>
      <c r="K20" s="23">
        <f>'Master Data'!K17</f>
        <v>72</v>
      </c>
      <c r="L20" s="24">
        <f>'Master Data'!L17</f>
        <v>0</v>
      </c>
      <c r="M20" s="23">
        <f>'Master Data'!M17</f>
        <v>0</v>
      </c>
      <c r="N20" s="23">
        <f>'Master Data'!N17</f>
        <v>0</v>
      </c>
      <c r="O20" s="23">
        <f>'Master Data'!O17</f>
        <v>0</v>
      </c>
      <c r="P20" s="23">
        <f>'Master Data'!P17</f>
        <v>0</v>
      </c>
      <c r="Q20" s="23">
        <f>'Master Data'!Q17</f>
        <v>0</v>
      </c>
      <c r="R20" s="23">
        <f>'Master Data'!R17</f>
        <v>0</v>
      </c>
      <c r="S20" s="23">
        <f>'Master Data'!S17</f>
        <v>0</v>
      </c>
      <c r="T20" s="23">
        <f>'Master Data'!T17</f>
        <v>0</v>
      </c>
      <c r="U20" s="23">
        <f>'Master Data'!U17</f>
        <v>0</v>
      </c>
      <c r="V20" s="23">
        <f>'Master Data'!V17</f>
        <v>0</v>
      </c>
      <c r="W20" s="23">
        <f>'Master Data'!W17</f>
        <v>0</v>
      </c>
      <c r="X20" s="23">
        <f>'Master Data'!X17</f>
        <v>0</v>
      </c>
      <c r="Y20" s="23">
        <f>'Master Data'!Y17</f>
        <v>0</v>
      </c>
      <c r="Z20" s="23">
        <f>'Master Data'!Z17</f>
        <v>0</v>
      </c>
      <c r="AA20" s="23">
        <f>'Master Data'!AA17</f>
        <v>0</v>
      </c>
      <c r="AB20" s="23">
        <f>'Master Data'!AB17</f>
        <v>0</v>
      </c>
      <c r="AC20" s="23">
        <f>'Master Data'!AC17</f>
        <v>0</v>
      </c>
      <c r="AD20" s="23">
        <f>'Master Data'!AD17</f>
        <v>0</v>
      </c>
      <c r="AE20" s="23">
        <f>'Master Data'!AE17</f>
        <v>0</v>
      </c>
      <c r="AF20" s="23">
        <f>'Master Data'!AF17</f>
        <v>0</v>
      </c>
      <c r="AG20" s="23">
        <f>'Master Data'!AG17</f>
        <v>0</v>
      </c>
      <c r="AH20" s="23">
        <f>'Master Data'!AH17</f>
        <v>0</v>
      </c>
      <c r="AI20" s="23">
        <f>'Master Data'!AI17</f>
        <v>0</v>
      </c>
      <c r="AJ20" s="23">
        <f>'Master Data'!AJ17</f>
        <v>0</v>
      </c>
      <c r="AK20" s="23">
        <f>'Master Data'!AK17</f>
        <v>0</v>
      </c>
      <c r="AL20" s="23">
        <f>'Master Data'!AL17</f>
        <v>0</v>
      </c>
      <c r="AM20" s="23">
        <f>'Master Data'!AM17</f>
        <v>0</v>
      </c>
      <c r="AN20" s="23">
        <f>'Master Data'!AN17</f>
        <v>0</v>
      </c>
      <c r="AO20" s="23">
        <f>'Master Data'!AO17</f>
        <v>0</v>
      </c>
      <c r="AP20" s="23">
        <f>'Master Data'!AP17</f>
        <v>0</v>
      </c>
      <c r="AQ20" s="23">
        <f t="shared" si="2"/>
        <v>0</v>
      </c>
      <c r="AR20" s="16">
        <f t="shared" si="3"/>
        <v>0</v>
      </c>
      <c r="AS20" s="17">
        <f t="shared" si="1"/>
        <v>0</v>
      </c>
      <c r="AT20" s="16">
        <f t="shared" si="4"/>
        <v>0</v>
      </c>
    </row>
    <row r="21" spans="1:46" ht="15" customHeight="1" outlineLevel="1">
      <c r="A21" s="15" t="str">
        <f>'Master Data'!A18</f>
        <v>VEETADAY INDUSTRIES PRIVATE LIMITEDROZ36961</v>
      </c>
      <c r="B21" s="15" t="str">
        <f>'Master Data'!B18</f>
        <v>VD</v>
      </c>
      <c r="C21" s="15" t="str">
        <f>'Master Data'!C18</f>
        <v>VDROZ36961</v>
      </c>
      <c r="D21" s="15" t="str">
        <f>'Master Data'!D18</f>
        <v>VEETADAY INDUSTRIES PRIVATE LIMITED</v>
      </c>
      <c r="E21" s="15" t="str">
        <f>'Master Data'!E18</f>
        <v>Lucknow</v>
      </c>
      <c r="F21" s="15" t="str">
        <f>'Master Data'!F18</f>
        <v>Biscuits</v>
      </c>
      <c r="G21" s="15" t="str">
        <f>'Master Data'!G18</f>
        <v>ROZ36961</v>
      </c>
      <c r="H21" s="15" t="str">
        <f>'Master Data'!H18</f>
        <v>Samuh Butter Kalonji Bliss 65g</v>
      </c>
      <c r="I21" s="23">
        <f>'Master Data'!I18</f>
        <v>10</v>
      </c>
      <c r="J21" s="23">
        <f>'Master Data'!J18</f>
        <v>65</v>
      </c>
      <c r="K21" s="23">
        <f>'Master Data'!K18</f>
        <v>72</v>
      </c>
      <c r="L21" s="24">
        <f>'Master Data'!L18</f>
        <v>0</v>
      </c>
      <c r="M21" s="23">
        <f>'Master Data'!M18</f>
        <v>0</v>
      </c>
      <c r="N21" s="23">
        <f>'Master Data'!N18</f>
        <v>0</v>
      </c>
      <c r="O21" s="23">
        <f>'Master Data'!O18</f>
        <v>0</v>
      </c>
      <c r="P21" s="23">
        <f>'Master Data'!P18</f>
        <v>0</v>
      </c>
      <c r="Q21" s="23">
        <f>'Master Data'!Q18</f>
        <v>0</v>
      </c>
      <c r="R21" s="23">
        <f>'Master Data'!R18</f>
        <v>0</v>
      </c>
      <c r="S21" s="23">
        <f>'Master Data'!S18</f>
        <v>0</v>
      </c>
      <c r="T21" s="23">
        <f>'Master Data'!T18</f>
        <v>0</v>
      </c>
      <c r="U21" s="23">
        <f>'Master Data'!U18</f>
        <v>0</v>
      </c>
      <c r="V21" s="23">
        <f>'Master Data'!V18</f>
        <v>0</v>
      </c>
      <c r="W21" s="23">
        <f>'Master Data'!W18</f>
        <v>0</v>
      </c>
      <c r="X21" s="23">
        <f>'Master Data'!X18</f>
        <v>0</v>
      </c>
      <c r="Y21" s="23">
        <f>'Master Data'!Y18</f>
        <v>0</v>
      </c>
      <c r="Z21" s="23">
        <f>'Master Data'!Z18</f>
        <v>0</v>
      </c>
      <c r="AA21" s="23">
        <f>'Master Data'!AA18</f>
        <v>0</v>
      </c>
      <c r="AB21" s="23">
        <f>'Master Data'!AB18</f>
        <v>0</v>
      </c>
      <c r="AC21" s="23">
        <f>'Master Data'!AC18</f>
        <v>0</v>
      </c>
      <c r="AD21" s="23">
        <f>'Master Data'!AD18</f>
        <v>0</v>
      </c>
      <c r="AE21" s="23">
        <f>'Master Data'!AE18</f>
        <v>0</v>
      </c>
      <c r="AF21" s="23">
        <f>'Master Data'!AF18</f>
        <v>0</v>
      </c>
      <c r="AG21" s="23">
        <f>'Master Data'!AG18</f>
        <v>0</v>
      </c>
      <c r="AH21" s="23">
        <f>'Master Data'!AH18</f>
        <v>0</v>
      </c>
      <c r="AI21" s="23">
        <f>'Master Data'!AI18</f>
        <v>0</v>
      </c>
      <c r="AJ21" s="23">
        <f>'Master Data'!AJ18</f>
        <v>0</v>
      </c>
      <c r="AK21" s="23">
        <f>'Master Data'!AK18</f>
        <v>0</v>
      </c>
      <c r="AL21" s="23">
        <f>'Master Data'!AL18</f>
        <v>0</v>
      </c>
      <c r="AM21" s="23">
        <f>'Master Data'!AM18</f>
        <v>0</v>
      </c>
      <c r="AN21" s="23">
        <f>'Master Data'!AN18</f>
        <v>0</v>
      </c>
      <c r="AO21" s="23">
        <f>'Master Data'!AO18</f>
        <v>0</v>
      </c>
      <c r="AP21" s="23">
        <f>'Master Data'!AP18</f>
        <v>0</v>
      </c>
      <c r="AQ21" s="23">
        <f t="shared" si="2"/>
        <v>0</v>
      </c>
      <c r="AR21" s="16">
        <f t="shared" si="3"/>
        <v>0</v>
      </c>
      <c r="AS21" s="17">
        <f t="shared" si="1"/>
        <v>0</v>
      </c>
      <c r="AT21" s="16">
        <f t="shared" si="4"/>
        <v>0</v>
      </c>
    </row>
    <row r="22" spans="1:46" ht="15" customHeight="1" outlineLevel="1">
      <c r="A22" s="15" t="str">
        <f>'Master Data'!A19</f>
        <v>VEETADAY INDUSTRIES PRIVATE LIMITEDROZ36960</v>
      </c>
      <c r="B22" s="15" t="str">
        <f>'Master Data'!B19</f>
        <v>VD</v>
      </c>
      <c r="C22" s="15" t="str">
        <f>'Master Data'!C19</f>
        <v>VDROZ36960</v>
      </c>
      <c r="D22" s="15" t="str">
        <f>'Master Data'!D19</f>
        <v>VEETADAY INDUSTRIES PRIVATE LIMITED</v>
      </c>
      <c r="E22" s="15" t="str">
        <f>'Master Data'!E19</f>
        <v>Lucknow</v>
      </c>
      <c r="F22" s="15" t="str">
        <f>'Master Data'!F19</f>
        <v>Biscuits</v>
      </c>
      <c r="G22" s="15" t="str">
        <f>'Master Data'!G19</f>
        <v>ROZ36960</v>
      </c>
      <c r="H22" s="15" t="str">
        <f>'Master Data'!H19</f>
        <v>Samuh Butter Cashew Biscuit 60g</v>
      </c>
      <c r="I22" s="23">
        <f>'Master Data'!I19</f>
        <v>10</v>
      </c>
      <c r="J22" s="23">
        <f>'Master Data'!J19</f>
        <v>60</v>
      </c>
      <c r="K22" s="23">
        <f>'Master Data'!K19</f>
        <v>60</v>
      </c>
      <c r="L22" s="24">
        <f>'Master Data'!L19</f>
        <v>0</v>
      </c>
      <c r="M22" s="23">
        <f>'Master Data'!M19</f>
        <v>0</v>
      </c>
      <c r="N22" s="23">
        <f>'Master Data'!N19</f>
        <v>0</v>
      </c>
      <c r="O22" s="23">
        <f>'Master Data'!O19</f>
        <v>0</v>
      </c>
      <c r="P22" s="23">
        <f>'Master Data'!P19</f>
        <v>0</v>
      </c>
      <c r="Q22" s="23">
        <f>'Master Data'!Q19</f>
        <v>0</v>
      </c>
      <c r="R22" s="23">
        <f>'Master Data'!R19</f>
        <v>0</v>
      </c>
      <c r="S22" s="23">
        <f>'Master Data'!S19</f>
        <v>0</v>
      </c>
      <c r="T22" s="23">
        <f>'Master Data'!T19</f>
        <v>0</v>
      </c>
      <c r="U22" s="23">
        <f>'Master Data'!U19</f>
        <v>0</v>
      </c>
      <c r="V22" s="23">
        <f>'Master Data'!V19</f>
        <v>0</v>
      </c>
      <c r="W22" s="23">
        <f>'Master Data'!W19</f>
        <v>0</v>
      </c>
      <c r="X22" s="23">
        <f>'Master Data'!X19</f>
        <v>0</v>
      </c>
      <c r="Y22" s="23">
        <f>'Master Data'!Y19</f>
        <v>0</v>
      </c>
      <c r="Z22" s="23">
        <f>'Master Data'!Z19</f>
        <v>0</v>
      </c>
      <c r="AA22" s="23">
        <f>'Master Data'!AA19</f>
        <v>0</v>
      </c>
      <c r="AB22" s="23">
        <f>'Master Data'!AB19</f>
        <v>0</v>
      </c>
      <c r="AC22" s="23">
        <f>'Master Data'!AC19</f>
        <v>0</v>
      </c>
      <c r="AD22" s="23">
        <f>'Master Data'!AD19</f>
        <v>0</v>
      </c>
      <c r="AE22" s="23">
        <f>'Master Data'!AE19</f>
        <v>0</v>
      </c>
      <c r="AF22" s="23">
        <f>'Master Data'!AF19</f>
        <v>0</v>
      </c>
      <c r="AG22" s="23">
        <f>'Master Data'!AG19</f>
        <v>0</v>
      </c>
      <c r="AH22" s="23">
        <f>'Master Data'!AH19</f>
        <v>0</v>
      </c>
      <c r="AI22" s="23">
        <f>'Master Data'!AI19</f>
        <v>0</v>
      </c>
      <c r="AJ22" s="23">
        <f>'Master Data'!AJ19</f>
        <v>0</v>
      </c>
      <c r="AK22" s="23">
        <f>'Master Data'!AK19</f>
        <v>0</v>
      </c>
      <c r="AL22" s="23">
        <f>'Master Data'!AL19</f>
        <v>0</v>
      </c>
      <c r="AM22" s="23">
        <f>'Master Data'!AM19</f>
        <v>0</v>
      </c>
      <c r="AN22" s="23">
        <f>'Master Data'!AN19</f>
        <v>0</v>
      </c>
      <c r="AO22" s="23">
        <f>'Master Data'!AO19</f>
        <v>0</v>
      </c>
      <c r="AP22" s="23">
        <f>'Master Data'!AP19</f>
        <v>0</v>
      </c>
      <c r="AQ22" s="23">
        <f t="shared" si="2"/>
        <v>0</v>
      </c>
      <c r="AR22" s="16">
        <f t="shared" si="3"/>
        <v>0</v>
      </c>
      <c r="AS22" s="17">
        <f t="shared" si="1"/>
        <v>0</v>
      </c>
      <c r="AT22" s="16">
        <f t="shared" si="4"/>
        <v>0</v>
      </c>
    </row>
    <row r="23" spans="1:46" ht="15" customHeight="1" outlineLevel="1">
      <c r="A23" s="15" t="str">
        <f>'Master Data'!A20</f>
        <v>VEETADAY INDUSTRIES PRIVATE LIMITEDROZ23760</v>
      </c>
      <c r="B23" s="15" t="str">
        <f>'Master Data'!B20</f>
        <v>VD</v>
      </c>
      <c r="C23" s="15" t="str">
        <f>'Master Data'!C20</f>
        <v>VDROZ23760</v>
      </c>
      <c r="D23" s="15" t="str">
        <f>'Master Data'!D20</f>
        <v>VEETADAY INDUSTRIES PRIVATE LIMITED</v>
      </c>
      <c r="E23" s="15" t="str">
        <f>'Master Data'!E20</f>
        <v>Lucknow</v>
      </c>
      <c r="F23" s="15" t="str">
        <f>'Master Data'!F20</f>
        <v>Rusk</v>
      </c>
      <c r="G23" s="15" t="str">
        <f>'Master Data'!G20</f>
        <v>ROZ23760</v>
      </c>
      <c r="H23" s="15" t="str">
        <f>'Master Data'!H20</f>
        <v>Samuh Elaichi Rusk 130 g</v>
      </c>
      <c r="I23" s="23">
        <f>'Master Data'!I20</f>
        <v>20</v>
      </c>
      <c r="J23" s="23">
        <f>'Master Data'!J20</f>
        <v>130</v>
      </c>
      <c r="K23" s="23">
        <f>'Master Data'!K20</f>
        <v>24</v>
      </c>
      <c r="L23" s="24">
        <f>'Master Data'!L20</f>
        <v>0</v>
      </c>
      <c r="M23" s="23">
        <f>'Master Data'!M20</f>
        <v>0</v>
      </c>
      <c r="N23" s="23">
        <f>'Master Data'!N20</f>
        <v>0</v>
      </c>
      <c r="O23" s="23">
        <f>'Master Data'!O20</f>
        <v>0</v>
      </c>
      <c r="P23" s="23">
        <f>'Master Data'!P20</f>
        <v>0</v>
      </c>
      <c r="Q23" s="23">
        <f>'Master Data'!Q20</f>
        <v>0</v>
      </c>
      <c r="R23" s="23">
        <f>'Master Data'!R20</f>
        <v>0</v>
      </c>
      <c r="S23" s="23">
        <f>'Master Data'!S20</f>
        <v>0</v>
      </c>
      <c r="T23" s="23">
        <f>'Master Data'!T20</f>
        <v>0</v>
      </c>
      <c r="U23" s="23">
        <f>'Master Data'!U20</f>
        <v>0</v>
      </c>
      <c r="V23" s="23">
        <f>'Master Data'!V20</f>
        <v>0</v>
      </c>
      <c r="W23" s="23">
        <f>'Master Data'!W20</f>
        <v>0</v>
      </c>
      <c r="X23" s="23">
        <f>'Master Data'!X20</f>
        <v>0</v>
      </c>
      <c r="Y23" s="23">
        <f>'Master Data'!Y20</f>
        <v>0</v>
      </c>
      <c r="Z23" s="23">
        <f>'Master Data'!Z20</f>
        <v>0</v>
      </c>
      <c r="AA23" s="23">
        <f>'Master Data'!AA20</f>
        <v>0</v>
      </c>
      <c r="AB23" s="23">
        <f>'Master Data'!AB20</f>
        <v>0</v>
      </c>
      <c r="AC23" s="23">
        <f>'Master Data'!AC20</f>
        <v>0</v>
      </c>
      <c r="AD23" s="23">
        <f>'Master Data'!AD20</f>
        <v>0</v>
      </c>
      <c r="AE23" s="23">
        <f>'Master Data'!AE20</f>
        <v>0</v>
      </c>
      <c r="AF23" s="23">
        <f>'Master Data'!AF20</f>
        <v>0</v>
      </c>
      <c r="AG23" s="23">
        <f>'Master Data'!AG20</f>
        <v>0</v>
      </c>
      <c r="AH23" s="23">
        <f>'Master Data'!AH20</f>
        <v>0</v>
      </c>
      <c r="AI23" s="23">
        <f>'Master Data'!AI20</f>
        <v>0</v>
      </c>
      <c r="AJ23" s="23">
        <f>'Master Data'!AJ20</f>
        <v>0</v>
      </c>
      <c r="AK23" s="23">
        <f>'Master Data'!AK20</f>
        <v>0</v>
      </c>
      <c r="AL23" s="23">
        <f>'Master Data'!AL20</f>
        <v>0</v>
      </c>
      <c r="AM23" s="23">
        <f>'Master Data'!AM20</f>
        <v>0</v>
      </c>
      <c r="AN23" s="23">
        <f>'Master Data'!AN20</f>
        <v>0</v>
      </c>
      <c r="AO23" s="23">
        <f>'Master Data'!AO20</f>
        <v>0</v>
      </c>
      <c r="AP23" s="23">
        <f>'Master Data'!AP20</f>
        <v>0</v>
      </c>
      <c r="AQ23" s="23">
        <f t="shared" si="2"/>
        <v>0</v>
      </c>
      <c r="AR23" s="16">
        <f t="shared" si="3"/>
        <v>0</v>
      </c>
      <c r="AS23" s="17">
        <f t="shared" si="1"/>
        <v>0</v>
      </c>
      <c r="AT23" s="16">
        <f t="shared" si="4"/>
        <v>0</v>
      </c>
    </row>
    <row r="24" spans="1:46" ht="15" customHeight="1" outlineLevel="1">
      <c r="A24" s="15" t="str">
        <f>'Master Data'!A21</f>
        <v>VEETADAY INDUSTRIES PRIVATE LIMITEDROZ23759</v>
      </c>
      <c r="B24" s="15" t="str">
        <f>'Master Data'!B21</f>
        <v>VD</v>
      </c>
      <c r="C24" s="15" t="str">
        <f>'Master Data'!C21</f>
        <v>VDROZ23759</v>
      </c>
      <c r="D24" s="15" t="str">
        <f>'Master Data'!D21</f>
        <v>VEETADAY INDUSTRIES PRIVATE LIMITED</v>
      </c>
      <c r="E24" s="15" t="str">
        <f>'Master Data'!E21</f>
        <v>Lucknow</v>
      </c>
      <c r="F24" s="15" t="str">
        <f>'Master Data'!F21</f>
        <v>Rusk</v>
      </c>
      <c r="G24" s="15" t="str">
        <f>'Master Data'!G21</f>
        <v>ROZ23759</v>
      </c>
      <c r="H24" s="15" t="str">
        <f>'Master Data'!H21</f>
        <v>Samuh Elaichi Rusk 65 g</v>
      </c>
      <c r="I24" s="23">
        <f>'Master Data'!I21</f>
        <v>10</v>
      </c>
      <c r="J24" s="23">
        <f>'Master Data'!J21</f>
        <v>65</v>
      </c>
      <c r="K24" s="23">
        <f>'Master Data'!K21</f>
        <v>24</v>
      </c>
      <c r="L24" s="24">
        <f>'Master Data'!L21</f>
        <v>0</v>
      </c>
      <c r="M24" s="23">
        <f>'Master Data'!M21</f>
        <v>0</v>
      </c>
      <c r="N24" s="23">
        <f>'Master Data'!N21</f>
        <v>0</v>
      </c>
      <c r="O24" s="23">
        <f>'Master Data'!O21</f>
        <v>0</v>
      </c>
      <c r="P24" s="23">
        <f>'Master Data'!P21</f>
        <v>0</v>
      </c>
      <c r="Q24" s="23">
        <f>'Master Data'!Q21</f>
        <v>0</v>
      </c>
      <c r="R24" s="23">
        <f>'Master Data'!R21</f>
        <v>0</v>
      </c>
      <c r="S24" s="23">
        <f>'Master Data'!S21</f>
        <v>0</v>
      </c>
      <c r="T24" s="23">
        <f>'Master Data'!T21</f>
        <v>0</v>
      </c>
      <c r="U24" s="23">
        <f>'Master Data'!U21</f>
        <v>0</v>
      </c>
      <c r="V24" s="23">
        <f>'Master Data'!V21</f>
        <v>0</v>
      </c>
      <c r="W24" s="23">
        <f>'Master Data'!W21</f>
        <v>0</v>
      </c>
      <c r="X24" s="23">
        <f>'Master Data'!X21</f>
        <v>0</v>
      </c>
      <c r="Y24" s="23">
        <f>'Master Data'!Y21</f>
        <v>0</v>
      </c>
      <c r="Z24" s="23">
        <f>'Master Data'!Z21</f>
        <v>0</v>
      </c>
      <c r="AA24" s="23">
        <f>'Master Data'!AA21</f>
        <v>0</v>
      </c>
      <c r="AB24" s="23">
        <f>'Master Data'!AB21</f>
        <v>0</v>
      </c>
      <c r="AC24" s="23">
        <f>'Master Data'!AC21</f>
        <v>0</v>
      </c>
      <c r="AD24" s="23">
        <f>'Master Data'!AD21</f>
        <v>0</v>
      </c>
      <c r="AE24" s="23">
        <f>'Master Data'!AE21</f>
        <v>0</v>
      </c>
      <c r="AF24" s="23">
        <f>'Master Data'!AF21</f>
        <v>0</v>
      </c>
      <c r="AG24" s="23">
        <f>'Master Data'!AG21</f>
        <v>0</v>
      </c>
      <c r="AH24" s="23">
        <f>'Master Data'!AH21</f>
        <v>0</v>
      </c>
      <c r="AI24" s="23">
        <f>'Master Data'!AI21</f>
        <v>0</v>
      </c>
      <c r="AJ24" s="23">
        <f>'Master Data'!AJ21</f>
        <v>0</v>
      </c>
      <c r="AK24" s="23">
        <f>'Master Data'!AK21</f>
        <v>0</v>
      </c>
      <c r="AL24" s="23">
        <f>'Master Data'!AL21</f>
        <v>0</v>
      </c>
      <c r="AM24" s="23">
        <f>'Master Data'!AM21</f>
        <v>0</v>
      </c>
      <c r="AN24" s="23">
        <f>'Master Data'!AN21</f>
        <v>0</v>
      </c>
      <c r="AO24" s="23">
        <f>'Master Data'!AO21</f>
        <v>0</v>
      </c>
      <c r="AP24" s="23">
        <f>'Master Data'!AP21</f>
        <v>0</v>
      </c>
      <c r="AQ24" s="23">
        <f t="shared" si="2"/>
        <v>0</v>
      </c>
      <c r="AR24" s="16">
        <f t="shared" si="3"/>
        <v>0</v>
      </c>
      <c r="AS24" s="17">
        <f t="shared" si="1"/>
        <v>0</v>
      </c>
      <c r="AT24" s="16">
        <f t="shared" si="4"/>
        <v>0</v>
      </c>
    </row>
    <row r="25" spans="1:46" ht="15" customHeight="1" outlineLevel="1">
      <c r="A25" s="15" t="str">
        <f>'Master Data'!A22</f>
        <v>VEETADAY INDUSTRIES PRIVATE LIMITEDROZ50020</v>
      </c>
      <c r="B25" s="15" t="str">
        <f>'Master Data'!B22</f>
        <v>VD</v>
      </c>
      <c r="C25" s="15" t="str">
        <f>'Master Data'!C22</f>
        <v>VDROZ50020</v>
      </c>
      <c r="D25" s="15" t="str">
        <f>'Master Data'!D22</f>
        <v>VEETADAY INDUSTRIES PRIVATE LIMITED</v>
      </c>
      <c r="E25" s="15" t="str">
        <f>'Master Data'!E22</f>
        <v>Lucknow</v>
      </c>
      <c r="F25" s="15" t="str">
        <f>'Master Data'!F22</f>
        <v>Biscuits</v>
      </c>
      <c r="G25" s="15" t="str">
        <f>'Master Data'!G22</f>
        <v>ROZ50020</v>
      </c>
      <c r="H25" s="15" t="str">
        <f>'Master Data'!H22</f>
        <v xml:space="preserve">Samuh Marie Biscuit 35 g	</v>
      </c>
      <c r="I25" s="23">
        <f>'Master Data'!I22</f>
        <v>5</v>
      </c>
      <c r="J25" s="23">
        <f>'Master Data'!J22</f>
        <v>35</v>
      </c>
      <c r="K25" s="23">
        <f>'Master Data'!K22</f>
        <v>144</v>
      </c>
      <c r="L25" s="24">
        <f>'Master Data'!L22</f>
        <v>0</v>
      </c>
      <c r="M25" s="23">
        <f>'Master Data'!M22</f>
        <v>0</v>
      </c>
      <c r="N25" s="23">
        <f>'Master Data'!N22</f>
        <v>0</v>
      </c>
      <c r="O25" s="23">
        <f>'Master Data'!O22</f>
        <v>0</v>
      </c>
      <c r="P25" s="23">
        <f>'Master Data'!P22</f>
        <v>0</v>
      </c>
      <c r="Q25" s="23">
        <f>'Master Data'!Q22</f>
        <v>0</v>
      </c>
      <c r="R25" s="23">
        <f>'Master Data'!R22</f>
        <v>0</v>
      </c>
      <c r="S25" s="23">
        <f>'Master Data'!S22</f>
        <v>0</v>
      </c>
      <c r="T25" s="23">
        <f>'Master Data'!T22</f>
        <v>0</v>
      </c>
      <c r="U25" s="23">
        <f>'Master Data'!U22</f>
        <v>0</v>
      </c>
      <c r="V25" s="23">
        <f>'Master Data'!V22</f>
        <v>0</v>
      </c>
      <c r="W25" s="23">
        <f>'Master Data'!W22</f>
        <v>0</v>
      </c>
      <c r="X25" s="23">
        <f>'Master Data'!X22</f>
        <v>0</v>
      </c>
      <c r="Y25" s="23">
        <f>'Master Data'!Y22</f>
        <v>0</v>
      </c>
      <c r="Z25" s="23">
        <f>'Master Data'!Z22</f>
        <v>0</v>
      </c>
      <c r="AA25" s="23">
        <f>'Master Data'!AA22</f>
        <v>0</v>
      </c>
      <c r="AB25" s="23">
        <f>'Master Data'!AB22</f>
        <v>0</v>
      </c>
      <c r="AC25" s="23">
        <f>'Master Data'!AC22</f>
        <v>0</v>
      </c>
      <c r="AD25" s="23">
        <f>'Master Data'!AD22</f>
        <v>0</v>
      </c>
      <c r="AE25" s="23">
        <f>'Master Data'!AE22</f>
        <v>0</v>
      </c>
      <c r="AF25" s="23">
        <f>'Master Data'!AF22</f>
        <v>0</v>
      </c>
      <c r="AG25" s="23">
        <f>'Master Data'!AG22</f>
        <v>0</v>
      </c>
      <c r="AH25" s="23">
        <f>'Master Data'!AH22</f>
        <v>0</v>
      </c>
      <c r="AI25" s="23">
        <f>'Master Data'!AI22</f>
        <v>0</v>
      </c>
      <c r="AJ25" s="23">
        <f>'Master Data'!AJ22</f>
        <v>0</v>
      </c>
      <c r="AK25" s="23">
        <f>'Master Data'!AK22</f>
        <v>0</v>
      </c>
      <c r="AL25" s="23">
        <f>'Master Data'!AL22</f>
        <v>0</v>
      </c>
      <c r="AM25" s="23">
        <f>'Master Data'!AM22</f>
        <v>0</v>
      </c>
      <c r="AN25" s="23">
        <f>'Master Data'!AN22</f>
        <v>0</v>
      </c>
      <c r="AO25" s="23">
        <f>'Master Data'!AO22</f>
        <v>0</v>
      </c>
      <c r="AP25" s="23">
        <f>'Master Data'!AP22</f>
        <v>0</v>
      </c>
      <c r="AQ25" s="23">
        <f t="shared" si="2"/>
        <v>0</v>
      </c>
      <c r="AR25" s="16">
        <f t="shared" si="3"/>
        <v>0</v>
      </c>
      <c r="AS25" s="17">
        <f t="shared" si="1"/>
        <v>0</v>
      </c>
      <c r="AT25" s="16">
        <f t="shared" si="4"/>
        <v>0</v>
      </c>
    </row>
    <row r="26" spans="1:46" ht="15" customHeight="1" outlineLevel="1">
      <c r="A26" s="15" t="str">
        <f>'Master Data'!A23</f>
        <v>VEETADAY INDUSTRIES PRIVATE LIMITED1</v>
      </c>
      <c r="B26" s="15" t="str">
        <f>'Master Data'!B23</f>
        <v>VD</v>
      </c>
      <c r="C26" s="15" t="str">
        <f>'Master Data'!C23</f>
        <v>VD1</v>
      </c>
      <c r="D26" s="15" t="str">
        <f>'Master Data'!D23</f>
        <v>VEETADAY INDUSTRIES PRIVATE LIMITED</v>
      </c>
      <c r="E26" s="15" t="str">
        <f>'Master Data'!E23</f>
        <v>Lucknow</v>
      </c>
      <c r="F26" s="15" t="str">
        <f>'Master Data'!F23</f>
        <v>Biscuits</v>
      </c>
      <c r="G26" s="15">
        <f>'Master Data'!G23</f>
        <v>1</v>
      </c>
      <c r="H26" s="15" t="str">
        <f>'Master Data'!H23</f>
        <v>Marie 30 Rs</v>
      </c>
      <c r="I26" s="15">
        <f>'Master Data'!I23</f>
        <v>30</v>
      </c>
      <c r="J26" s="15">
        <f>'Master Data'!J23</f>
        <v>140</v>
      </c>
      <c r="K26" s="15">
        <f>'Master Data'!K23</f>
        <v>40</v>
      </c>
      <c r="L26" s="24">
        <f>'Master Data'!L23</f>
        <v>0</v>
      </c>
      <c r="M26" s="23">
        <f>'Master Data'!M23</f>
        <v>0</v>
      </c>
      <c r="N26" s="23">
        <f>'Master Data'!N23</f>
        <v>0</v>
      </c>
      <c r="O26" s="23">
        <f>'Master Data'!O23</f>
        <v>0</v>
      </c>
      <c r="P26" s="23">
        <f>'Master Data'!P23</f>
        <v>0</v>
      </c>
      <c r="Q26" s="23">
        <f>'Master Data'!Q23</f>
        <v>0</v>
      </c>
      <c r="R26" s="23">
        <f>'Master Data'!R23</f>
        <v>0</v>
      </c>
      <c r="S26" s="23">
        <f>'Master Data'!S23</f>
        <v>0</v>
      </c>
      <c r="T26" s="23">
        <f>'Master Data'!T23</f>
        <v>0</v>
      </c>
      <c r="U26" s="23">
        <f>'Master Data'!U23</f>
        <v>0</v>
      </c>
      <c r="V26" s="23">
        <f>'Master Data'!V23</f>
        <v>0</v>
      </c>
      <c r="W26" s="23">
        <f>'Master Data'!W23</f>
        <v>0</v>
      </c>
      <c r="X26" s="23">
        <f>'Master Data'!X23</f>
        <v>0</v>
      </c>
      <c r="Y26" s="23">
        <f>'Master Data'!Y23</f>
        <v>0</v>
      </c>
      <c r="Z26" s="23">
        <f>'Master Data'!Z23</f>
        <v>0</v>
      </c>
      <c r="AA26" s="23">
        <f>'Master Data'!AA23</f>
        <v>0</v>
      </c>
      <c r="AB26" s="23">
        <f>'Master Data'!AB23</f>
        <v>0</v>
      </c>
      <c r="AC26" s="23">
        <f>'Master Data'!AC23</f>
        <v>0</v>
      </c>
      <c r="AD26" s="23">
        <f>'Master Data'!AD23</f>
        <v>0</v>
      </c>
      <c r="AE26" s="23">
        <f>'Master Data'!AE23</f>
        <v>0</v>
      </c>
      <c r="AF26" s="23">
        <f>'Master Data'!AF23</f>
        <v>0</v>
      </c>
      <c r="AG26" s="23">
        <f>'Master Data'!AG23</f>
        <v>0</v>
      </c>
      <c r="AH26" s="23">
        <f>'Master Data'!AH23</f>
        <v>0</v>
      </c>
      <c r="AI26" s="23">
        <f>'Master Data'!AI23</f>
        <v>0</v>
      </c>
      <c r="AJ26" s="23">
        <f>'Master Data'!AJ23</f>
        <v>0</v>
      </c>
      <c r="AK26" s="23">
        <f>'Master Data'!AK23</f>
        <v>0</v>
      </c>
      <c r="AL26" s="23">
        <f>'Master Data'!AL23</f>
        <v>0</v>
      </c>
      <c r="AM26" s="23">
        <f>'Master Data'!AM23</f>
        <v>0</v>
      </c>
      <c r="AN26" s="23">
        <f>'Master Data'!AN23</f>
        <v>0</v>
      </c>
      <c r="AO26" s="23">
        <f>'Master Data'!AO23</f>
        <v>0</v>
      </c>
      <c r="AP26" s="23">
        <f>'Master Data'!AP23</f>
        <v>0</v>
      </c>
      <c r="AQ26" s="23">
        <f t="shared" si="2"/>
        <v>0</v>
      </c>
      <c r="AR26" s="16">
        <f t="shared" si="3"/>
        <v>0</v>
      </c>
      <c r="AS26" s="17">
        <f t="shared" si="1"/>
        <v>0</v>
      </c>
      <c r="AT26" s="16">
        <f t="shared" si="4"/>
        <v>0</v>
      </c>
    </row>
    <row r="27" spans="1:46" ht="15" customHeight="1">
      <c r="A27" s="69" t="s">
        <v>51</v>
      </c>
      <c r="B27" s="69"/>
      <c r="C27" s="69"/>
      <c r="D27" s="2"/>
      <c r="E27" s="2"/>
      <c r="F27" s="2"/>
      <c r="G27" s="2"/>
      <c r="H27" s="2"/>
      <c r="I27" s="2"/>
      <c r="J27" s="2"/>
      <c r="K27" s="2"/>
      <c r="L27" s="19">
        <f t="shared" ref="L27:AR27" si="5">SUM(L28:L48)</f>
        <v>0</v>
      </c>
      <c r="M27" s="20">
        <f t="shared" si="5"/>
        <v>0</v>
      </c>
      <c r="N27" s="20">
        <f t="shared" si="5"/>
        <v>0</v>
      </c>
      <c r="O27" s="20">
        <f t="shared" si="5"/>
        <v>0</v>
      </c>
      <c r="P27" s="20">
        <f t="shared" si="5"/>
        <v>0</v>
      </c>
      <c r="Q27" s="20">
        <f t="shared" si="5"/>
        <v>0</v>
      </c>
      <c r="R27" s="20">
        <f t="shared" si="5"/>
        <v>0</v>
      </c>
      <c r="S27" s="20">
        <f t="shared" si="5"/>
        <v>0</v>
      </c>
      <c r="T27" s="20">
        <f t="shared" si="5"/>
        <v>0</v>
      </c>
      <c r="U27" s="20">
        <f t="shared" si="5"/>
        <v>0</v>
      </c>
      <c r="V27" s="20">
        <f t="shared" si="5"/>
        <v>0</v>
      </c>
      <c r="W27" s="20">
        <f t="shared" si="5"/>
        <v>0</v>
      </c>
      <c r="X27" s="20">
        <f t="shared" si="5"/>
        <v>0</v>
      </c>
      <c r="Y27" s="20">
        <f t="shared" si="5"/>
        <v>0</v>
      </c>
      <c r="Z27" s="20">
        <f t="shared" si="5"/>
        <v>0</v>
      </c>
      <c r="AA27" s="20">
        <f t="shared" si="5"/>
        <v>0</v>
      </c>
      <c r="AB27" s="20">
        <f t="shared" si="5"/>
        <v>0</v>
      </c>
      <c r="AC27" s="20">
        <f t="shared" si="5"/>
        <v>0</v>
      </c>
      <c r="AD27" s="20">
        <f t="shared" si="5"/>
        <v>0</v>
      </c>
      <c r="AE27" s="20">
        <f t="shared" si="5"/>
        <v>0</v>
      </c>
      <c r="AF27" s="20">
        <f t="shared" si="5"/>
        <v>0</v>
      </c>
      <c r="AG27" s="20">
        <f t="shared" si="5"/>
        <v>0</v>
      </c>
      <c r="AH27" s="20">
        <f t="shared" si="5"/>
        <v>0</v>
      </c>
      <c r="AI27" s="20">
        <f t="shared" si="5"/>
        <v>0</v>
      </c>
      <c r="AJ27" s="20">
        <f t="shared" si="5"/>
        <v>0</v>
      </c>
      <c r="AK27" s="20">
        <f t="shared" si="5"/>
        <v>0</v>
      </c>
      <c r="AL27" s="20">
        <f t="shared" si="5"/>
        <v>0</v>
      </c>
      <c r="AM27" s="20">
        <f t="shared" si="5"/>
        <v>0</v>
      </c>
      <c r="AN27" s="20">
        <f t="shared" si="5"/>
        <v>0</v>
      </c>
      <c r="AO27" s="20">
        <f t="shared" si="5"/>
        <v>0</v>
      </c>
      <c r="AP27" s="20">
        <f t="shared" si="5"/>
        <v>0</v>
      </c>
      <c r="AQ27" s="20">
        <f t="shared" si="5"/>
        <v>0</v>
      </c>
      <c r="AR27" s="21">
        <f t="shared" si="5"/>
        <v>0</v>
      </c>
      <c r="AS27" s="22">
        <f t="shared" si="1"/>
        <v>0</v>
      </c>
      <c r="AT27" s="21">
        <f>SUM(AT28:AT48)</f>
        <v>0</v>
      </c>
    </row>
    <row r="28" spans="1:46" ht="15" customHeight="1" outlineLevel="1">
      <c r="A28" s="15" t="str">
        <f>'Master Data'!A24</f>
        <v>SWGROZ39494</v>
      </c>
      <c r="B28" s="15" t="str">
        <f>'Master Data'!B24</f>
        <v>SWG</v>
      </c>
      <c r="C28" s="15" t="str">
        <f>'Master Data'!C24</f>
        <v>SWGROZ39494</v>
      </c>
      <c r="D28" s="15" t="str">
        <f>'Master Data'!D24</f>
        <v>SWG</v>
      </c>
      <c r="E28" s="15" t="str">
        <f>'Master Data'!E24</f>
        <v>Rudrapur</v>
      </c>
      <c r="F28" s="15" t="str">
        <f>'Master Data'!F24</f>
        <v>Biscuits</v>
      </c>
      <c r="G28" s="15" t="str">
        <f>'Master Data'!G24</f>
        <v>ROZ39494</v>
      </c>
      <c r="H28" s="15" t="str">
        <f>'Master Data'!H24</f>
        <v>Samuh Milky Biscuit 35 g</v>
      </c>
      <c r="I28" s="23">
        <f>'Master Data'!I24</f>
        <v>5</v>
      </c>
      <c r="J28" s="23">
        <f>'Master Data'!J24</f>
        <v>35</v>
      </c>
      <c r="K28" s="23">
        <f>'Master Data'!K24</f>
        <v>144</v>
      </c>
      <c r="L28" s="24">
        <f>'Master Data'!L24</f>
        <v>0</v>
      </c>
      <c r="M28" s="23">
        <f>'Master Data'!M24</f>
        <v>0</v>
      </c>
      <c r="N28" s="23">
        <f>'Master Data'!N24</f>
        <v>0</v>
      </c>
      <c r="O28" s="23">
        <f>'Master Data'!O24</f>
        <v>0</v>
      </c>
      <c r="P28" s="23">
        <f>'Master Data'!P24</f>
        <v>0</v>
      </c>
      <c r="Q28" s="23">
        <f>'Master Data'!Q24</f>
        <v>0</v>
      </c>
      <c r="R28" s="23">
        <f>'Master Data'!R24</f>
        <v>0</v>
      </c>
      <c r="S28" s="23">
        <f>'Master Data'!S24</f>
        <v>0</v>
      </c>
      <c r="T28" s="23">
        <f>'Master Data'!T24</f>
        <v>0</v>
      </c>
      <c r="U28" s="23">
        <f>'Master Data'!U24</f>
        <v>0</v>
      </c>
      <c r="V28" s="23">
        <f>'Master Data'!V24</f>
        <v>0</v>
      </c>
      <c r="W28" s="23">
        <f>'Master Data'!W24</f>
        <v>0</v>
      </c>
      <c r="X28" s="23">
        <f>'Master Data'!X24</f>
        <v>0</v>
      </c>
      <c r="Y28" s="23">
        <f>'Master Data'!Y24</f>
        <v>0</v>
      </c>
      <c r="Z28" s="23">
        <f>'Master Data'!Z24</f>
        <v>0</v>
      </c>
      <c r="AA28" s="23">
        <f>'Master Data'!AA24</f>
        <v>0</v>
      </c>
      <c r="AB28" s="23">
        <f>'Master Data'!AB24</f>
        <v>0</v>
      </c>
      <c r="AC28" s="23">
        <f>'Master Data'!AC24</f>
        <v>0</v>
      </c>
      <c r="AD28" s="23">
        <f>'Master Data'!AD24</f>
        <v>0</v>
      </c>
      <c r="AE28" s="23">
        <f>'Master Data'!AE24</f>
        <v>0</v>
      </c>
      <c r="AF28" s="23">
        <f>'Master Data'!AF24</f>
        <v>0</v>
      </c>
      <c r="AG28" s="23">
        <f>'Master Data'!AG24</f>
        <v>0</v>
      </c>
      <c r="AH28" s="23">
        <f>'Master Data'!AH24</f>
        <v>0</v>
      </c>
      <c r="AI28" s="23">
        <f>'Master Data'!AI24</f>
        <v>0</v>
      </c>
      <c r="AJ28" s="23">
        <f>'Master Data'!AJ24</f>
        <v>0</v>
      </c>
      <c r="AK28" s="23">
        <f>'Master Data'!AK24</f>
        <v>0</v>
      </c>
      <c r="AL28" s="23">
        <f>'Master Data'!AL24</f>
        <v>0</v>
      </c>
      <c r="AM28" s="23">
        <f>'Master Data'!AM24</f>
        <v>0</v>
      </c>
      <c r="AN28" s="23">
        <f>'Master Data'!AN24</f>
        <v>0</v>
      </c>
      <c r="AO28" s="23">
        <f>'Master Data'!AO24</f>
        <v>0</v>
      </c>
      <c r="AP28" s="23">
        <f>'Master Data'!AP24</f>
        <v>0</v>
      </c>
      <c r="AQ28" s="23">
        <f t="shared" ref="AQ28:AQ48" si="6">SUM(M28:AP28)</f>
        <v>0</v>
      </c>
      <c r="AR28" s="16">
        <f t="shared" ref="AR28:AR48" si="7">(AQ28*J28*K28)/1000000</f>
        <v>0</v>
      </c>
      <c r="AS28" s="17">
        <f t="shared" si="1"/>
        <v>0</v>
      </c>
      <c r="AT28" s="16">
        <f t="shared" ref="AT28:AT48" si="8">L28-AR28</f>
        <v>0</v>
      </c>
    </row>
    <row r="29" spans="1:46" ht="15" customHeight="1" outlineLevel="1">
      <c r="A29" s="15" t="str">
        <f>'Master Data'!A25</f>
        <v>SWGROZ23739</v>
      </c>
      <c r="B29" s="15" t="str">
        <f>'Master Data'!B25</f>
        <v>SWG</v>
      </c>
      <c r="C29" s="15" t="str">
        <f>'Master Data'!C25</f>
        <v>SWGROZ23739</v>
      </c>
      <c r="D29" s="15" t="str">
        <f>'Master Data'!D25</f>
        <v>SWG</v>
      </c>
      <c r="E29" s="15" t="str">
        <f>'Master Data'!E25</f>
        <v>Rudrapur</v>
      </c>
      <c r="F29" s="15" t="str">
        <f>'Master Data'!F25</f>
        <v>Biscuits</v>
      </c>
      <c r="G29" s="15" t="str">
        <f>'Master Data'!G25</f>
        <v>ROZ23739</v>
      </c>
      <c r="H29" s="15" t="str">
        <f>'Master Data'!H25</f>
        <v>Samuh Beat it! Bite it! Orange Cream Biscuit 35 g</v>
      </c>
      <c r="I29" s="23">
        <f>'Master Data'!I25</f>
        <v>5</v>
      </c>
      <c r="J29" s="23">
        <f>'Master Data'!J25</f>
        <v>35</v>
      </c>
      <c r="K29" s="23">
        <f>'Master Data'!K25</f>
        <v>144</v>
      </c>
      <c r="L29" s="24">
        <f>'Master Data'!L25</f>
        <v>0</v>
      </c>
      <c r="M29" s="23">
        <f>'Master Data'!M25</f>
        <v>0</v>
      </c>
      <c r="N29" s="23">
        <f>'Master Data'!N25</f>
        <v>0</v>
      </c>
      <c r="O29" s="23">
        <f>'Master Data'!O25</f>
        <v>0</v>
      </c>
      <c r="P29" s="23">
        <f>'Master Data'!P25</f>
        <v>0</v>
      </c>
      <c r="Q29" s="23">
        <f>'Master Data'!Q25</f>
        <v>0</v>
      </c>
      <c r="R29" s="23">
        <f>'Master Data'!R25</f>
        <v>0</v>
      </c>
      <c r="S29" s="23">
        <f>'Master Data'!S25</f>
        <v>0</v>
      </c>
      <c r="T29" s="23">
        <f>'Master Data'!T25</f>
        <v>0</v>
      </c>
      <c r="U29" s="23">
        <f>'Master Data'!U25</f>
        <v>0</v>
      </c>
      <c r="V29" s="23">
        <f>'Master Data'!V25</f>
        <v>0</v>
      </c>
      <c r="W29" s="23">
        <f>'Master Data'!W25</f>
        <v>0</v>
      </c>
      <c r="X29" s="23">
        <f>'Master Data'!X25</f>
        <v>0</v>
      </c>
      <c r="Y29" s="23">
        <f>'Master Data'!Y25</f>
        <v>0</v>
      </c>
      <c r="Z29" s="23">
        <f>'Master Data'!Z25</f>
        <v>0</v>
      </c>
      <c r="AA29" s="23">
        <f>'Master Data'!AA25</f>
        <v>0</v>
      </c>
      <c r="AB29" s="23">
        <f>'Master Data'!AB25</f>
        <v>0</v>
      </c>
      <c r="AC29" s="23">
        <f>'Master Data'!AC25</f>
        <v>0</v>
      </c>
      <c r="AD29" s="23">
        <f>'Master Data'!AD25</f>
        <v>0</v>
      </c>
      <c r="AE29" s="23">
        <f>'Master Data'!AE25</f>
        <v>0</v>
      </c>
      <c r="AF29" s="23">
        <f>'Master Data'!AF25</f>
        <v>0</v>
      </c>
      <c r="AG29" s="23">
        <f>'Master Data'!AG25</f>
        <v>0</v>
      </c>
      <c r="AH29" s="23">
        <f>'Master Data'!AH25</f>
        <v>0</v>
      </c>
      <c r="AI29" s="23">
        <f>'Master Data'!AI25</f>
        <v>0</v>
      </c>
      <c r="AJ29" s="23">
        <f>'Master Data'!AJ25</f>
        <v>0</v>
      </c>
      <c r="AK29" s="23">
        <f>'Master Data'!AK25</f>
        <v>0</v>
      </c>
      <c r="AL29" s="23">
        <f>'Master Data'!AL25</f>
        <v>0</v>
      </c>
      <c r="AM29" s="23">
        <f>'Master Data'!AM25</f>
        <v>0</v>
      </c>
      <c r="AN29" s="23">
        <f>'Master Data'!AN25</f>
        <v>0</v>
      </c>
      <c r="AO29" s="23">
        <f>'Master Data'!AO25</f>
        <v>0</v>
      </c>
      <c r="AP29" s="23">
        <f>'Master Data'!AP25</f>
        <v>0</v>
      </c>
      <c r="AQ29" s="23">
        <f t="shared" si="6"/>
        <v>0</v>
      </c>
      <c r="AR29" s="16">
        <f t="shared" si="7"/>
        <v>0</v>
      </c>
      <c r="AS29" s="17">
        <f t="shared" si="1"/>
        <v>0</v>
      </c>
      <c r="AT29" s="16">
        <f t="shared" si="8"/>
        <v>0</v>
      </c>
    </row>
    <row r="30" spans="1:46" ht="15" customHeight="1" outlineLevel="1">
      <c r="A30" s="15" t="str">
        <f>'Master Data'!A26</f>
        <v>SWGROZ23738</v>
      </c>
      <c r="B30" s="15" t="str">
        <f>'Master Data'!B26</f>
        <v>SWG</v>
      </c>
      <c r="C30" s="15" t="str">
        <f>'Master Data'!C26</f>
        <v>SWGROZ23738</v>
      </c>
      <c r="D30" s="15" t="str">
        <f>'Master Data'!D26</f>
        <v>SWG</v>
      </c>
      <c r="E30" s="15" t="str">
        <f>'Master Data'!E26</f>
        <v>Rudrapur</v>
      </c>
      <c r="F30" s="15" t="str">
        <f>'Master Data'!F26</f>
        <v>Biscuits</v>
      </c>
      <c r="G30" s="15" t="str">
        <f>'Master Data'!G26</f>
        <v>ROZ23738</v>
      </c>
      <c r="H30" s="15" t="str">
        <f>'Master Data'!H26</f>
        <v>Samuh Beat it Bite it Chocolate Cream Biscuit 35 g</v>
      </c>
      <c r="I30" s="23">
        <f>'Master Data'!I26</f>
        <v>5</v>
      </c>
      <c r="J30" s="23">
        <f>'Master Data'!J26</f>
        <v>35</v>
      </c>
      <c r="K30" s="23">
        <f>'Master Data'!K26</f>
        <v>144</v>
      </c>
      <c r="L30" s="24">
        <f>'Master Data'!L26</f>
        <v>0</v>
      </c>
      <c r="M30" s="23">
        <f>'Master Data'!M26</f>
        <v>0</v>
      </c>
      <c r="N30" s="23">
        <f>'Master Data'!N26</f>
        <v>0</v>
      </c>
      <c r="O30" s="23">
        <f>'Master Data'!O26</f>
        <v>0</v>
      </c>
      <c r="P30" s="23">
        <f>'Master Data'!P26</f>
        <v>0</v>
      </c>
      <c r="Q30" s="23">
        <f>'Master Data'!Q26</f>
        <v>0</v>
      </c>
      <c r="R30" s="23">
        <f>'Master Data'!R26</f>
        <v>0</v>
      </c>
      <c r="S30" s="23">
        <f>'Master Data'!S26</f>
        <v>0</v>
      </c>
      <c r="T30" s="23">
        <f>'Master Data'!T26</f>
        <v>0</v>
      </c>
      <c r="U30" s="23">
        <f>'Master Data'!U26</f>
        <v>0</v>
      </c>
      <c r="V30" s="23">
        <f>'Master Data'!V26</f>
        <v>0</v>
      </c>
      <c r="W30" s="23">
        <f>'Master Data'!W26</f>
        <v>0</v>
      </c>
      <c r="X30" s="23">
        <f>'Master Data'!X26</f>
        <v>0</v>
      </c>
      <c r="Y30" s="23">
        <f>'Master Data'!Y26</f>
        <v>0</v>
      </c>
      <c r="Z30" s="23">
        <f>'Master Data'!Z26</f>
        <v>0</v>
      </c>
      <c r="AA30" s="23">
        <f>'Master Data'!AA26</f>
        <v>0</v>
      </c>
      <c r="AB30" s="23">
        <f>'Master Data'!AB26</f>
        <v>0</v>
      </c>
      <c r="AC30" s="23">
        <f>'Master Data'!AC26</f>
        <v>0</v>
      </c>
      <c r="AD30" s="23">
        <f>'Master Data'!AD26</f>
        <v>0</v>
      </c>
      <c r="AE30" s="23">
        <f>'Master Data'!AE26</f>
        <v>0</v>
      </c>
      <c r="AF30" s="23">
        <f>'Master Data'!AF26</f>
        <v>0</v>
      </c>
      <c r="AG30" s="23">
        <f>'Master Data'!AG26</f>
        <v>0</v>
      </c>
      <c r="AH30" s="23">
        <f>'Master Data'!AH26</f>
        <v>0</v>
      </c>
      <c r="AI30" s="23">
        <f>'Master Data'!AI26</f>
        <v>0</v>
      </c>
      <c r="AJ30" s="23">
        <f>'Master Data'!AJ26</f>
        <v>0</v>
      </c>
      <c r="AK30" s="23">
        <f>'Master Data'!AK26</f>
        <v>0</v>
      </c>
      <c r="AL30" s="23">
        <f>'Master Data'!AL26</f>
        <v>0</v>
      </c>
      <c r="AM30" s="23">
        <f>'Master Data'!AM26</f>
        <v>0</v>
      </c>
      <c r="AN30" s="23">
        <f>'Master Data'!AN26</f>
        <v>0</v>
      </c>
      <c r="AO30" s="23">
        <f>'Master Data'!AO26</f>
        <v>0</v>
      </c>
      <c r="AP30" s="23">
        <f>'Master Data'!AP26</f>
        <v>0</v>
      </c>
      <c r="AQ30" s="23">
        <f t="shared" si="6"/>
        <v>0</v>
      </c>
      <c r="AR30" s="16">
        <f t="shared" si="7"/>
        <v>0</v>
      </c>
      <c r="AS30" s="17">
        <f t="shared" si="1"/>
        <v>0</v>
      </c>
      <c r="AT30" s="16">
        <f t="shared" si="8"/>
        <v>0</v>
      </c>
    </row>
    <row r="31" spans="1:46" ht="15" customHeight="1" outlineLevel="1">
      <c r="A31" s="15" t="str">
        <f>'Master Data'!A27</f>
        <v>SWGROZ23743</v>
      </c>
      <c r="B31" s="15" t="str">
        <f>'Master Data'!B27</f>
        <v>SWG</v>
      </c>
      <c r="C31" s="15" t="str">
        <f>'Master Data'!C27</f>
        <v>SWGROZ23743</v>
      </c>
      <c r="D31" s="15" t="str">
        <f>'Master Data'!D27</f>
        <v>SWG</v>
      </c>
      <c r="E31" s="15" t="str">
        <f>'Master Data'!E27</f>
        <v>Rudrapur</v>
      </c>
      <c r="F31" s="15" t="str">
        <f>'Master Data'!F27</f>
        <v>Biscuits</v>
      </c>
      <c r="G31" s="15" t="str">
        <f>'Master Data'!G27</f>
        <v>ROZ23743</v>
      </c>
      <c r="H31" s="15" t="str">
        <f>'Master Data'!H27</f>
        <v>Samuh Butter Cookies Biscuit 32 g</v>
      </c>
      <c r="I31" s="23">
        <f>'Master Data'!I27</f>
        <v>5</v>
      </c>
      <c r="J31" s="23">
        <f>'Master Data'!J27</f>
        <v>32</v>
      </c>
      <c r="K31" s="23">
        <f>'Master Data'!K27</f>
        <v>144</v>
      </c>
      <c r="L31" s="24">
        <f>'Master Data'!L27</f>
        <v>0</v>
      </c>
      <c r="M31" s="23">
        <f>'Master Data'!M27</f>
        <v>0</v>
      </c>
      <c r="N31" s="23">
        <f>'Master Data'!N27</f>
        <v>0</v>
      </c>
      <c r="O31" s="23">
        <f>'Master Data'!O27</f>
        <v>0</v>
      </c>
      <c r="P31" s="23">
        <f>'Master Data'!P27</f>
        <v>0</v>
      </c>
      <c r="Q31" s="23">
        <f>'Master Data'!Q27</f>
        <v>0</v>
      </c>
      <c r="R31" s="23">
        <f>'Master Data'!R27</f>
        <v>0</v>
      </c>
      <c r="S31" s="23">
        <f>'Master Data'!S27</f>
        <v>0</v>
      </c>
      <c r="T31" s="23">
        <f>'Master Data'!T27</f>
        <v>0</v>
      </c>
      <c r="U31" s="23">
        <f>'Master Data'!U27</f>
        <v>0</v>
      </c>
      <c r="V31" s="23">
        <f>'Master Data'!V27</f>
        <v>0</v>
      </c>
      <c r="W31" s="23">
        <f>'Master Data'!W27</f>
        <v>0</v>
      </c>
      <c r="X31" s="23">
        <f>'Master Data'!X27</f>
        <v>0</v>
      </c>
      <c r="Y31" s="23">
        <f>'Master Data'!Y27</f>
        <v>0</v>
      </c>
      <c r="Z31" s="23">
        <f>'Master Data'!Z27</f>
        <v>0</v>
      </c>
      <c r="AA31" s="23">
        <f>'Master Data'!AA27</f>
        <v>0</v>
      </c>
      <c r="AB31" s="23">
        <f>'Master Data'!AB27</f>
        <v>0</v>
      </c>
      <c r="AC31" s="23">
        <f>'Master Data'!AC27</f>
        <v>0</v>
      </c>
      <c r="AD31" s="23">
        <f>'Master Data'!AD27</f>
        <v>0</v>
      </c>
      <c r="AE31" s="23">
        <f>'Master Data'!AE27</f>
        <v>0</v>
      </c>
      <c r="AF31" s="23">
        <f>'Master Data'!AF27</f>
        <v>0</v>
      </c>
      <c r="AG31" s="23">
        <f>'Master Data'!AG27</f>
        <v>0</v>
      </c>
      <c r="AH31" s="23">
        <f>'Master Data'!AH27</f>
        <v>0</v>
      </c>
      <c r="AI31" s="23">
        <f>'Master Data'!AI27</f>
        <v>0</v>
      </c>
      <c r="AJ31" s="23">
        <f>'Master Data'!AJ27</f>
        <v>0</v>
      </c>
      <c r="AK31" s="23">
        <f>'Master Data'!AK27</f>
        <v>0</v>
      </c>
      <c r="AL31" s="23">
        <f>'Master Data'!AL27</f>
        <v>0</v>
      </c>
      <c r="AM31" s="23">
        <f>'Master Data'!AM27</f>
        <v>0</v>
      </c>
      <c r="AN31" s="23">
        <f>'Master Data'!AN27</f>
        <v>0</v>
      </c>
      <c r="AO31" s="23">
        <f>'Master Data'!AO27</f>
        <v>0</v>
      </c>
      <c r="AP31" s="23">
        <f>'Master Data'!AP27</f>
        <v>0</v>
      </c>
      <c r="AQ31" s="23">
        <f t="shared" si="6"/>
        <v>0</v>
      </c>
      <c r="AR31" s="16">
        <f t="shared" si="7"/>
        <v>0</v>
      </c>
      <c r="AS31" s="17">
        <f t="shared" si="1"/>
        <v>0</v>
      </c>
      <c r="AT31" s="16">
        <f t="shared" si="8"/>
        <v>0</v>
      </c>
    </row>
    <row r="32" spans="1:46" ht="15" customHeight="1" outlineLevel="1">
      <c r="A32" s="15" t="str">
        <f>'Master Data'!A28</f>
        <v>SWGROZ23740</v>
      </c>
      <c r="B32" s="15" t="str">
        <f>'Master Data'!B28</f>
        <v>SWG</v>
      </c>
      <c r="C32" s="15" t="str">
        <f>'Master Data'!C28</f>
        <v>SWGROZ23740</v>
      </c>
      <c r="D32" s="15" t="str">
        <f>'Master Data'!D28</f>
        <v>SWG</v>
      </c>
      <c r="E32" s="15" t="str">
        <f>'Master Data'!E28</f>
        <v>Rudrapur</v>
      </c>
      <c r="F32" s="15" t="str">
        <f>'Master Data'!F28</f>
        <v>Biscuits</v>
      </c>
      <c r="G32" s="15" t="str">
        <f>'Master Data'!G28</f>
        <v>ROZ23740</v>
      </c>
      <c r="H32" s="15" t="str">
        <f>'Master Data'!H28</f>
        <v>Samuh Zeera Biscuit 35 g</v>
      </c>
      <c r="I32" s="23">
        <f>'Master Data'!I28</f>
        <v>5</v>
      </c>
      <c r="J32" s="23">
        <f>'Master Data'!J28</f>
        <v>35</v>
      </c>
      <c r="K32" s="23">
        <f>'Master Data'!K28</f>
        <v>144</v>
      </c>
      <c r="L32" s="24">
        <f>'Master Data'!L28</f>
        <v>0</v>
      </c>
      <c r="M32" s="23">
        <f>'Master Data'!M28</f>
        <v>0</v>
      </c>
      <c r="N32" s="23">
        <f>'Master Data'!N28</f>
        <v>0</v>
      </c>
      <c r="O32" s="23">
        <f>'Master Data'!O28</f>
        <v>0</v>
      </c>
      <c r="P32" s="23">
        <f>'Master Data'!P28</f>
        <v>0</v>
      </c>
      <c r="Q32" s="23">
        <f>'Master Data'!Q28</f>
        <v>0</v>
      </c>
      <c r="R32" s="23">
        <f>'Master Data'!R28</f>
        <v>0</v>
      </c>
      <c r="S32" s="23">
        <f>'Master Data'!S28</f>
        <v>0</v>
      </c>
      <c r="T32" s="23">
        <f>'Master Data'!T28</f>
        <v>0</v>
      </c>
      <c r="U32" s="23">
        <f>'Master Data'!U28</f>
        <v>0</v>
      </c>
      <c r="V32" s="23">
        <f>'Master Data'!V28</f>
        <v>0</v>
      </c>
      <c r="W32" s="23">
        <f>'Master Data'!W28</f>
        <v>0</v>
      </c>
      <c r="X32" s="23">
        <f>'Master Data'!X28</f>
        <v>0</v>
      </c>
      <c r="Y32" s="23">
        <f>'Master Data'!Y28</f>
        <v>0</v>
      </c>
      <c r="Z32" s="23">
        <f>'Master Data'!Z28</f>
        <v>0</v>
      </c>
      <c r="AA32" s="23">
        <f>'Master Data'!AA28</f>
        <v>0</v>
      </c>
      <c r="AB32" s="23">
        <f>'Master Data'!AB28</f>
        <v>0</v>
      </c>
      <c r="AC32" s="23">
        <f>'Master Data'!AC28</f>
        <v>0</v>
      </c>
      <c r="AD32" s="23">
        <f>'Master Data'!AD28</f>
        <v>0</v>
      </c>
      <c r="AE32" s="23">
        <f>'Master Data'!AE28</f>
        <v>0</v>
      </c>
      <c r="AF32" s="23">
        <f>'Master Data'!AF28</f>
        <v>0</v>
      </c>
      <c r="AG32" s="23">
        <f>'Master Data'!AG28</f>
        <v>0</v>
      </c>
      <c r="AH32" s="23">
        <f>'Master Data'!AH28</f>
        <v>0</v>
      </c>
      <c r="AI32" s="23">
        <f>'Master Data'!AI28</f>
        <v>0</v>
      </c>
      <c r="AJ32" s="23">
        <f>'Master Data'!AJ28</f>
        <v>0</v>
      </c>
      <c r="AK32" s="23">
        <f>'Master Data'!AK28</f>
        <v>0</v>
      </c>
      <c r="AL32" s="23">
        <f>'Master Data'!AL28</f>
        <v>0</v>
      </c>
      <c r="AM32" s="23">
        <f>'Master Data'!AM28</f>
        <v>0</v>
      </c>
      <c r="AN32" s="23">
        <f>'Master Data'!AN28</f>
        <v>0</v>
      </c>
      <c r="AO32" s="23">
        <f>'Master Data'!AO28</f>
        <v>0</v>
      </c>
      <c r="AP32" s="23">
        <f>'Master Data'!AP28</f>
        <v>0</v>
      </c>
      <c r="AQ32" s="23">
        <f t="shared" si="6"/>
        <v>0</v>
      </c>
      <c r="AR32" s="16">
        <f t="shared" si="7"/>
        <v>0</v>
      </c>
      <c r="AS32" s="17">
        <f t="shared" si="1"/>
        <v>0</v>
      </c>
      <c r="AT32" s="16">
        <f t="shared" si="8"/>
        <v>0</v>
      </c>
    </row>
    <row r="33" spans="1:46" ht="15" customHeight="1" outlineLevel="1">
      <c r="A33" s="15" t="str">
        <f>'Master Data'!A29</f>
        <v>SWGROZ23741</v>
      </c>
      <c r="B33" s="15" t="str">
        <f>'Master Data'!B29</f>
        <v>SWG</v>
      </c>
      <c r="C33" s="15" t="str">
        <f>'Master Data'!C29</f>
        <v>SWGROZ23741</v>
      </c>
      <c r="D33" s="15" t="str">
        <f>'Master Data'!D29</f>
        <v>SWG</v>
      </c>
      <c r="E33" s="15" t="str">
        <f>'Master Data'!E29</f>
        <v>Rudrapur</v>
      </c>
      <c r="F33" s="15" t="str">
        <f>'Master Data'!F29</f>
        <v>Biscuits</v>
      </c>
      <c r="G33" s="15" t="str">
        <f>'Master Data'!G29</f>
        <v>ROZ23741</v>
      </c>
      <c r="H33" s="15" t="str">
        <f>'Master Data'!H29</f>
        <v>Samuh Coconut Cookies Biscuit 35 g</v>
      </c>
      <c r="I33" s="23">
        <f>'Master Data'!I29</f>
        <v>5</v>
      </c>
      <c r="J33" s="23">
        <f>'Master Data'!J29</f>
        <v>35</v>
      </c>
      <c r="K33" s="23">
        <f>'Master Data'!K29</f>
        <v>144</v>
      </c>
      <c r="L33" s="24">
        <f>'Master Data'!L29</f>
        <v>0</v>
      </c>
      <c r="M33" s="23">
        <f>'Master Data'!M29</f>
        <v>0</v>
      </c>
      <c r="N33" s="23">
        <f>'Master Data'!N29</f>
        <v>0</v>
      </c>
      <c r="O33" s="23">
        <f>'Master Data'!O29</f>
        <v>0</v>
      </c>
      <c r="P33" s="23">
        <f>'Master Data'!P29</f>
        <v>0</v>
      </c>
      <c r="Q33" s="23">
        <f>'Master Data'!Q29</f>
        <v>0</v>
      </c>
      <c r="R33" s="23">
        <f>'Master Data'!R29</f>
        <v>0</v>
      </c>
      <c r="S33" s="23">
        <f>'Master Data'!S29</f>
        <v>0</v>
      </c>
      <c r="T33" s="23">
        <f>'Master Data'!T29</f>
        <v>0</v>
      </c>
      <c r="U33" s="23">
        <f>'Master Data'!U29</f>
        <v>0</v>
      </c>
      <c r="V33" s="23">
        <f>'Master Data'!V29</f>
        <v>0</v>
      </c>
      <c r="W33" s="23">
        <f>'Master Data'!W29</f>
        <v>0</v>
      </c>
      <c r="X33" s="23">
        <f>'Master Data'!X29</f>
        <v>0</v>
      </c>
      <c r="Y33" s="23">
        <f>'Master Data'!Y29</f>
        <v>0</v>
      </c>
      <c r="Z33" s="23">
        <f>'Master Data'!Z29</f>
        <v>0</v>
      </c>
      <c r="AA33" s="23">
        <f>'Master Data'!AA29</f>
        <v>0</v>
      </c>
      <c r="AB33" s="23">
        <f>'Master Data'!AB29</f>
        <v>0</v>
      </c>
      <c r="AC33" s="23">
        <f>'Master Data'!AC29</f>
        <v>0</v>
      </c>
      <c r="AD33" s="23">
        <f>'Master Data'!AD29</f>
        <v>0</v>
      </c>
      <c r="AE33" s="23">
        <f>'Master Data'!AE29</f>
        <v>0</v>
      </c>
      <c r="AF33" s="23">
        <f>'Master Data'!AF29</f>
        <v>0</v>
      </c>
      <c r="AG33" s="23">
        <f>'Master Data'!AG29</f>
        <v>0</v>
      </c>
      <c r="AH33" s="23">
        <f>'Master Data'!AH29</f>
        <v>0</v>
      </c>
      <c r="AI33" s="23">
        <f>'Master Data'!AI29</f>
        <v>0</v>
      </c>
      <c r="AJ33" s="23">
        <f>'Master Data'!AJ29</f>
        <v>0</v>
      </c>
      <c r="AK33" s="23">
        <f>'Master Data'!AK29</f>
        <v>0</v>
      </c>
      <c r="AL33" s="23">
        <f>'Master Data'!AL29</f>
        <v>0</v>
      </c>
      <c r="AM33" s="23">
        <f>'Master Data'!AM29</f>
        <v>0</v>
      </c>
      <c r="AN33" s="23">
        <f>'Master Data'!AN29</f>
        <v>0</v>
      </c>
      <c r="AO33" s="23">
        <f>'Master Data'!AO29</f>
        <v>0</v>
      </c>
      <c r="AP33" s="23">
        <f>'Master Data'!AP29</f>
        <v>0</v>
      </c>
      <c r="AQ33" s="23">
        <f t="shared" si="6"/>
        <v>0</v>
      </c>
      <c r="AR33" s="16">
        <f t="shared" si="7"/>
        <v>0</v>
      </c>
      <c r="AS33" s="17">
        <f t="shared" si="1"/>
        <v>0</v>
      </c>
      <c r="AT33" s="16">
        <f t="shared" si="8"/>
        <v>0</v>
      </c>
    </row>
    <row r="34" spans="1:46" ht="15" customHeight="1" outlineLevel="1">
      <c r="A34" s="15" t="str">
        <f>'Master Data'!A30</f>
        <v>SWGROZ23742</v>
      </c>
      <c r="B34" s="15" t="str">
        <f>'Master Data'!B30</f>
        <v>SWG</v>
      </c>
      <c r="C34" s="15" t="str">
        <f>'Master Data'!C30</f>
        <v>SWGROZ23742</v>
      </c>
      <c r="D34" s="15" t="str">
        <f>'Master Data'!D30</f>
        <v>SWG</v>
      </c>
      <c r="E34" s="15" t="str">
        <f>'Master Data'!E30</f>
        <v>Rudrapur</v>
      </c>
      <c r="F34" s="15" t="str">
        <f>'Master Data'!F30</f>
        <v>Biscuits</v>
      </c>
      <c r="G34" s="15" t="str">
        <f>'Master Data'!G30</f>
        <v>ROZ23742</v>
      </c>
      <c r="H34" s="15" t="str">
        <f>'Master Data'!H30</f>
        <v>Samuh Salty Sweety Biscuit 32 g</v>
      </c>
      <c r="I34" s="23">
        <f>'Master Data'!I30</f>
        <v>5</v>
      </c>
      <c r="J34" s="23">
        <f>'Master Data'!J30</f>
        <v>32</v>
      </c>
      <c r="K34" s="23">
        <f>'Master Data'!K30</f>
        <v>144</v>
      </c>
      <c r="L34" s="24">
        <f>'Master Data'!L30</f>
        <v>0</v>
      </c>
      <c r="M34" s="23">
        <f>'Master Data'!M30</f>
        <v>0</v>
      </c>
      <c r="N34" s="23">
        <f>'Master Data'!N30</f>
        <v>0</v>
      </c>
      <c r="O34" s="23">
        <f>'Master Data'!O30</f>
        <v>0</v>
      </c>
      <c r="P34" s="23">
        <f>'Master Data'!P30</f>
        <v>0</v>
      </c>
      <c r="Q34" s="23">
        <f>'Master Data'!Q30</f>
        <v>0</v>
      </c>
      <c r="R34" s="23">
        <f>'Master Data'!R30</f>
        <v>0</v>
      </c>
      <c r="S34" s="23">
        <f>'Master Data'!S30</f>
        <v>0</v>
      </c>
      <c r="T34" s="23">
        <f>'Master Data'!T30</f>
        <v>0</v>
      </c>
      <c r="U34" s="23">
        <f>'Master Data'!U30</f>
        <v>0</v>
      </c>
      <c r="V34" s="23">
        <f>'Master Data'!V30</f>
        <v>0</v>
      </c>
      <c r="W34" s="23">
        <f>'Master Data'!W30</f>
        <v>0</v>
      </c>
      <c r="X34" s="23">
        <f>'Master Data'!X30</f>
        <v>0</v>
      </c>
      <c r="Y34" s="23">
        <f>'Master Data'!Y30</f>
        <v>0</v>
      </c>
      <c r="Z34" s="23">
        <f>'Master Data'!Z30</f>
        <v>0</v>
      </c>
      <c r="AA34" s="23">
        <f>'Master Data'!AA30</f>
        <v>0</v>
      </c>
      <c r="AB34" s="23">
        <f>'Master Data'!AB30</f>
        <v>0</v>
      </c>
      <c r="AC34" s="23">
        <f>'Master Data'!AC30</f>
        <v>0</v>
      </c>
      <c r="AD34" s="23">
        <f>'Master Data'!AD30</f>
        <v>0</v>
      </c>
      <c r="AE34" s="23">
        <f>'Master Data'!AE30</f>
        <v>0</v>
      </c>
      <c r="AF34" s="23">
        <f>'Master Data'!AF30</f>
        <v>0</v>
      </c>
      <c r="AG34" s="23">
        <f>'Master Data'!AG30</f>
        <v>0</v>
      </c>
      <c r="AH34" s="23">
        <f>'Master Data'!AH30</f>
        <v>0</v>
      </c>
      <c r="AI34" s="23">
        <f>'Master Data'!AI30</f>
        <v>0</v>
      </c>
      <c r="AJ34" s="23">
        <f>'Master Data'!AJ30</f>
        <v>0</v>
      </c>
      <c r="AK34" s="23">
        <f>'Master Data'!AK30</f>
        <v>0</v>
      </c>
      <c r="AL34" s="23">
        <f>'Master Data'!AL30</f>
        <v>0</v>
      </c>
      <c r="AM34" s="23">
        <f>'Master Data'!AM30</f>
        <v>0</v>
      </c>
      <c r="AN34" s="23">
        <f>'Master Data'!AN30</f>
        <v>0</v>
      </c>
      <c r="AO34" s="23">
        <f>'Master Data'!AO30</f>
        <v>0</v>
      </c>
      <c r="AP34" s="23">
        <f>'Master Data'!AP30</f>
        <v>0</v>
      </c>
      <c r="AQ34" s="23">
        <f t="shared" si="6"/>
        <v>0</v>
      </c>
      <c r="AR34" s="16">
        <f t="shared" si="7"/>
        <v>0</v>
      </c>
      <c r="AS34" s="17">
        <f t="shared" si="1"/>
        <v>0</v>
      </c>
      <c r="AT34" s="16">
        <f t="shared" si="8"/>
        <v>0</v>
      </c>
    </row>
    <row r="35" spans="1:46" ht="15" customHeight="1" outlineLevel="1">
      <c r="A35" s="15" t="str">
        <f>'Master Data'!A31</f>
        <v>SWGROZ36954</v>
      </c>
      <c r="B35" s="15" t="str">
        <f>'Master Data'!B31</f>
        <v>SWG</v>
      </c>
      <c r="C35" s="15" t="str">
        <f>'Master Data'!C31</f>
        <v>SWGROZ36954</v>
      </c>
      <c r="D35" s="15" t="str">
        <f>'Master Data'!D31</f>
        <v>SWG</v>
      </c>
      <c r="E35" s="15" t="str">
        <f>'Master Data'!E31</f>
        <v>Rudrapur</v>
      </c>
      <c r="F35" s="15" t="str">
        <f>'Master Data'!F31</f>
        <v>Biscuits</v>
      </c>
      <c r="G35" s="15" t="str">
        <f>'Master Data'!G31</f>
        <v>ROZ36954</v>
      </c>
      <c r="H35" s="15" t="str">
        <f>'Master Data'!H31</f>
        <v>Samuh Butter Cashew 30 g</v>
      </c>
      <c r="I35" s="23">
        <f>'Master Data'!I31</f>
        <v>5</v>
      </c>
      <c r="J35" s="23">
        <f>'Master Data'!J31</f>
        <v>30</v>
      </c>
      <c r="K35" s="23">
        <f>'Master Data'!K31</f>
        <v>144</v>
      </c>
      <c r="L35" s="24">
        <f>'Master Data'!L31</f>
        <v>0</v>
      </c>
      <c r="M35" s="23">
        <f>'Master Data'!M31</f>
        <v>0</v>
      </c>
      <c r="N35" s="23">
        <f>'Master Data'!N31</f>
        <v>0</v>
      </c>
      <c r="O35" s="23">
        <f>'Master Data'!O31</f>
        <v>0</v>
      </c>
      <c r="P35" s="23">
        <f>'Master Data'!P31</f>
        <v>0</v>
      </c>
      <c r="Q35" s="23">
        <f>'Master Data'!Q31</f>
        <v>0</v>
      </c>
      <c r="R35" s="23">
        <f>'Master Data'!R31</f>
        <v>0</v>
      </c>
      <c r="S35" s="23">
        <f>'Master Data'!S31</f>
        <v>0</v>
      </c>
      <c r="T35" s="23">
        <f>'Master Data'!T31</f>
        <v>0</v>
      </c>
      <c r="U35" s="23">
        <f>'Master Data'!U31</f>
        <v>0</v>
      </c>
      <c r="V35" s="23">
        <f>'Master Data'!V31</f>
        <v>0</v>
      </c>
      <c r="W35" s="23">
        <f>'Master Data'!W31</f>
        <v>0</v>
      </c>
      <c r="X35" s="23">
        <f>'Master Data'!X31</f>
        <v>0</v>
      </c>
      <c r="Y35" s="23">
        <f>'Master Data'!Y31</f>
        <v>0</v>
      </c>
      <c r="Z35" s="23">
        <f>'Master Data'!Z31</f>
        <v>0</v>
      </c>
      <c r="AA35" s="23">
        <f>'Master Data'!AA31</f>
        <v>0</v>
      </c>
      <c r="AB35" s="23">
        <f>'Master Data'!AB31</f>
        <v>0</v>
      </c>
      <c r="AC35" s="23">
        <f>'Master Data'!AC31</f>
        <v>0</v>
      </c>
      <c r="AD35" s="23">
        <f>'Master Data'!AD31</f>
        <v>0</v>
      </c>
      <c r="AE35" s="23">
        <f>'Master Data'!AE31</f>
        <v>0</v>
      </c>
      <c r="AF35" s="23">
        <f>'Master Data'!AF31</f>
        <v>0</v>
      </c>
      <c r="AG35" s="23">
        <f>'Master Data'!AG31</f>
        <v>0</v>
      </c>
      <c r="AH35" s="23">
        <f>'Master Data'!AH31</f>
        <v>0</v>
      </c>
      <c r="AI35" s="23">
        <f>'Master Data'!AI31</f>
        <v>0</v>
      </c>
      <c r="AJ35" s="23">
        <f>'Master Data'!AJ31</f>
        <v>0</v>
      </c>
      <c r="AK35" s="23">
        <f>'Master Data'!AK31</f>
        <v>0</v>
      </c>
      <c r="AL35" s="23">
        <f>'Master Data'!AL31</f>
        <v>0</v>
      </c>
      <c r="AM35" s="23">
        <f>'Master Data'!AM31</f>
        <v>0</v>
      </c>
      <c r="AN35" s="23">
        <f>'Master Data'!AN31</f>
        <v>0</v>
      </c>
      <c r="AO35" s="23">
        <f>'Master Data'!AO31</f>
        <v>0</v>
      </c>
      <c r="AP35" s="23">
        <f>'Master Data'!AP31</f>
        <v>0</v>
      </c>
      <c r="AQ35" s="23">
        <f t="shared" si="6"/>
        <v>0</v>
      </c>
      <c r="AR35" s="16">
        <f t="shared" si="7"/>
        <v>0</v>
      </c>
      <c r="AS35" s="17">
        <f t="shared" si="1"/>
        <v>0</v>
      </c>
      <c r="AT35" s="16">
        <f t="shared" si="8"/>
        <v>0</v>
      </c>
    </row>
    <row r="36" spans="1:46" ht="15" customHeight="1" outlineLevel="1">
      <c r="A36" s="15" t="str">
        <f>'Master Data'!A32</f>
        <v>SWGROZ36955</v>
      </c>
      <c r="B36" s="15" t="str">
        <f>'Master Data'!B32</f>
        <v>SWG</v>
      </c>
      <c r="C36" s="15" t="str">
        <f>'Master Data'!C32</f>
        <v>SWGROZ36955</v>
      </c>
      <c r="D36" s="15" t="str">
        <f>'Master Data'!D32</f>
        <v>SWG</v>
      </c>
      <c r="E36" s="15" t="str">
        <f>'Master Data'!E32</f>
        <v>Rudrapur</v>
      </c>
      <c r="F36" s="15" t="str">
        <f>'Master Data'!F32</f>
        <v>Biscuits</v>
      </c>
      <c r="G36" s="15" t="str">
        <f>'Master Data'!G32</f>
        <v>ROZ36955</v>
      </c>
      <c r="H36" s="15" t="str">
        <f>'Master Data'!H32</f>
        <v>Samuh Beat it Bite it Chocolate Cream Biscuit 70 g</v>
      </c>
      <c r="I36" s="23">
        <f>'Master Data'!I32</f>
        <v>10</v>
      </c>
      <c r="J36" s="23">
        <f>'Master Data'!J32</f>
        <v>70</v>
      </c>
      <c r="K36" s="23">
        <f>'Master Data'!K32</f>
        <v>60</v>
      </c>
      <c r="L36" s="24">
        <f>'Master Data'!L32</f>
        <v>0</v>
      </c>
      <c r="M36" s="23">
        <f>'Master Data'!M32</f>
        <v>0</v>
      </c>
      <c r="N36" s="23">
        <f>'Master Data'!N32</f>
        <v>0</v>
      </c>
      <c r="O36" s="23">
        <f>'Master Data'!O32</f>
        <v>0</v>
      </c>
      <c r="P36" s="23">
        <f>'Master Data'!P32</f>
        <v>0</v>
      </c>
      <c r="Q36" s="23">
        <f>'Master Data'!Q32</f>
        <v>0</v>
      </c>
      <c r="R36" s="23">
        <f>'Master Data'!R32</f>
        <v>0</v>
      </c>
      <c r="S36" s="23">
        <f>'Master Data'!S32</f>
        <v>0</v>
      </c>
      <c r="T36" s="23">
        <f>'Master Data'!T32</f>
        <v>0</v>
      </c>
      <c r="U36" s="23">
        <f>'Master Data'!U32</f>
        <v>0</v>
      </c>
      <c r="V36" s="23">
        <f>'Master Data'!V32</f>
        <v>0</v>
      </c>
      <c r="W36" s="23">
        <f>'Master Data'!W32</f>
        <v>0</v>
      </c>
      <c r="X36" s="23">
        <f>'Master Data'!X32</f>
        <v>0</v>
      </c>
      <c r="Y36" s="23">
        <f>'Master Data'!Y32</f>
        <v>0</v>
      </c>
      <c r="Z36" s="23">
        <f>'Master Data'!Z32</f>
        <v>0</v>
      </c>
      <c r="AA36" s="23">
        <f>'Master Data'!AA32</f>
        <v>0</v>
      </c>
      <c r="AB36" s="23">
        <f>'Master Data'!AB32</f>
        <v>0</v>
      </c>
      <c r="AC36" s="23">
        <f>'Master Data'!AC32</f>
        <v>0</v>
      </c>
      <c r="AD36" s="23">
        <f>'Master Data'!AD32</f>
        <v>0</v>
      </c>
      <c r="AE36" s="23">
        <f>'Master Data'!AE32</f>
        <v>0</v>
      </c>
      <c r="AF36" s="23">
        <f>'Master Data'!AF32</f>
        <v>0</v>
      </c>
      <c r="AG36" s="23">
        <f>'Master Data'!AG32</f>
        <v>0</v>
      </c>
      <c r="AH36" s="23">
        <f>'Master Data'!AH32</f>
        <v>0</v>
      </c>
      <c r="AI36" s="23">
        <f>'Master Data'!AI32</f>
        <v>0</v>
      </c>
      <c r="AJ36" s="23">
        <f>'Master Data'!AJ32</f>
        <v>0</v>
      </c>
      <c r="AK36" s="23">
        <f>'Master Data'!AK32</f>
        <v>0</v>
      </c>
      <c r="AL36" s="23">
        <f>'Master Data'!AL32</f>
        <v>0</v>
      </c>
      <c r="AM36" s="23">
        <f>'Master Data'!AM32</f>
        <v>0</v>
      </c>
      <c r="AN36" s="23">
        <f>'Master Data'!AN32</f>
        <v>0</v>
      </c>
      <c r="AO36" s="23">
        <f>'Master Data'!AO32</f>
        <v>0</v>
      </c>
      <c r="AP36" s="23">
        <f>'Master Data'!AP32</f>
        <v>0</v>
      </c>
      <c r="AQ36" s="23">
        <f t="shared" si="6"/>
        <v>0</v>
      </c>
      <c r="AR36" s="16">
        <f t="shared" si="7"/>
        <v>0</v>
      </c>
      <c r="AS36" s="17">
        <f t="shared" si="1"/>
        <v>0</v>
      </c>
      <c r="AT36" s="16">
        <f t="shared" si="8"/>
        <v>0</v>
      </c>
    </row>
    <row r="37" spans="1:46" ht="15" customHeight="1" outlineLevel="1">
      <c r="A37" s="15" t="str">
        <f>'Master Data'!A33</f>
        <v>SWGROZ36956</v>
      </c>
      <c r="B37" s="15" t="str">
        <f>'Master Data'!B33</f>
        <v>SWG</v>
      </c>
      <c r="C37" s="15" t="str">
        <f>'Master Data'!C33</f>
        <v>SWGROZ36956</v>
      </c>
      <c r="D37" s="15" t="str">
        <f>'Master Data'!D33</f>
        <v>SWG</v>
      </c>
      <c r="E37" s="15" t="str">
        <f>'Master Data'!E33</f>
        <v>Rudrapur</v>
      </c>
      <c r="F37" s="15" t="str">
        <f>'Master Data'!F33</f>
        <v>Biscuits</v>
      </c>
      <c r="G37" s="15" t="str">
        <f>'Master Data'!G33</f>
        <v>ROZ36956</v>
      </c>
      <c r="H37" s="15" t="str">
        <f>'Master Data'!H33</f>
        <v>Samuh Beat it! Bite it! Orange Cream Biscuit 70 g</v>
      </c>
      <c r="I37" s="23">
        <f>'Master Data'!I33</f>
        <v>10</v>
      </c>
      <c r="J37" s="23">
        <f>'Master Data'!J33</f>
        <v>70</v>
      </c>
      <c r="K37" s="23">
        <f>'Master Data'!K33</f>
        <v>60</v>
      </c>
      <c r="L37" s="24">
        <f>'Master Data'!L33</f>
        <v>0</v>
      </c>
      <c r="M37" s="23">
        <f>'Master Data'!M33</f>
        <v>0</v>
      </c>
      <c r="N37" s="23">
        <f>'Master Data'!N33</f>
        <v>0</v>
      </c>
      <c r="O37" s="23">
        <f>'Master Data'!O33</f>
        <v>0</v>
      </c>
      <c r="P37" s="23">
        <f>'Master Data'!P33</f>
        <v>0</v>
      </c>
      <c r="Q37" s="23">
        <f>'Master Data'!Q33</f>
        <v>0</v>
      </c>
      <c r="R37" s="23">
        <f>'Master Data'!R33</f>
        <v>0</v>
      </c>
      <c r="S37" s="23">
        <f>'Master Data'!S33</f>
        <v>0</v>
      </c>
      <c r="T37" s="23">
        <f>'Master Data'!T33</f>
        <v>0</v>
      </c>
      <c r="U37" s="23">
        <f>'Master Data'!U33</f>
        <v>0</v>
      </c>
      <c r="V37" s="23">
        <f>'Master Data'!V33</f>
        <v>0</v>
      </c>
      <c r="W37" s="23">
        <f>'Master Data'!W33</f>
        <v>0</v>
      </c>
      <c r="X37" s="23">
        <f>'Master Data'!X33</f>
        <v>0</v>
      </c>
      <c r="Y37" s="23">
        <f>'Master Data'!Y33</f>
        <v>0</v>
      </c>
      <c r="Z37" s="23">
        <f>'Master Data'!Z33</f>
        <v>0</v>
      </c>
      <c r="AA37" s="23">
        <f>'Master Data'!AA33</f>
        <v>0</v>
      </c>
      <c r="AB37" s="23">
        <f>'Master Data'!AB33</f>
        <v>0</v>
      </c>
      <c r="AC37" s="23">
        <f>'Master Data'!AC33</f>
        <v>0</v>
      </c>
      <c r="AD37" s="23">
        <f>'Master Data'!AD33</f>
        <v>0</v>
      </c>
      <c r="AE37" s="23">
        <f>'Master Data'!AE33</f>
        <v>0</v>
      </c>
      <c r="AF37" s="23">
        <f>'Master Data'!AF33</f>
        <v>0</v>
      </c>
      <c r="AG37" s="23">
        <f>'Master Data'!AG33</f>
        <v>0</v>
      </c>
      <c r="AH37" s="23">
        <f>'Master Data'!AH33</f>
        <v>0</v>
      </c>
      <c r="AI37" s="23">
        <f>'Master Data'!AI33</f>
        <v>0</v>
      </c>
      <c r="AJ37" s="23">
        <f>'Master Data'!AJ33</f>
        <v>0</v>
      </c>
      <c r="AK37" s="23">
        <f>'Master Data'!AK33</f>
        <v>0</v>
      </c>
      <c r="AL37" s="23">
        <f>'Master Data'!AL33</f>
        <v>0</v>
      </c>
      <c r="AM37" s="23">
        <f>'Master Data'!AM33</f>
        <v>0</v>
      </c>
      <c r="AN37" s="23">
        <f>'Master Data'!AN33</f>
        <v>0</v>
      </c>
      <c r="AO37" s="23">
        <f>'Master Data'!AO33</f>
        <v>0</v>
      </c>
      <c r="AP37" s="23">
        <f>'Master Data'!AP33</f>
        <v>0</v>
      </c>
      <c r="AQ37" s="23">
        <f t="shared" si="6"/>
        <v>0</v>
      </c>
      <c r="AR37" s="16">
        <f t="shared" si="7"/>
        <v>0</v>
      </c>
      <c r="AS37" s="17">
        <f t="shared" ref="AS37:AS68" si="9">IFERROR(AR37/L37,0)</f>
        <v>0</v>
      </c>
      <c r="AT37" s="16">
        <f t="shared" si="8"/>
        <v>0</v>
      </c>
    </row>
    <row r="38" spans="1:46" ht="15" customHeight="1" outlineLevel="1">
      <c r="A38" s="15" t="str">
        <f>'Master Data'!A34</f>
        <v>SWGROZ36957</v>
      </c>
      <c r="B38" s="15" t="str">
        <f>'Master Data'!B34</f>
        <v>SWG</v>
      </c>
      <c r="C38" s="15" t="str">
        <f>'Master Data'!C34</f>
        <v>SWGROZ36957</v>
      </c>
      <c r="D38" s="15" t="str">
        <f>'Master Data'!D34</f>
        <v>SWG</v>
      </c>
      <c r="E38" s="15" t="str">
        <f>'Master Data'!E34</f>
        <v>Rudrapur</v>
      </c>
      <c r="F38" s="15" t="str">
        <f>'Master Data'!F34</f>
        <v>Biscuits</v>
      </c>
      <c r="G38" s="15" t="str">
        <f>'Master Data'!G34</f>
        <v>ROZ36957</v>
      </c>
      <c r="H38" s="15" t="str">
        <f>'Master Data'!H34</f>
        <v>Samuh Coconut Cookies Biscuit 70g</v>
      </c>
      <c r="I38" s="23">
        <f>'Master Data'!I34</f>
        <v>10</v>
      </c>
      <c r="J38" s="23">
        <f>'Master Data'!J34</f>
        <v>70</v>
      </c>
      <c r="K38" s="23">
        <f>'Master Data'!K34</f>
        <v>60</v>
      </c>
      <c r="L38" s="24">
        <f>'Master Data'!L34</f>
        <v>0</v>
      </c>
      <c r="M38" s="23">
        <f>'Master Data'!M34</f>
        <v>0</v>
      </c>
      <c r="N38" s="23">
        <f>'Master Data'!N34</f>
        <v>0</v>
      </c>
      <c r="O38" s="23">
        <f>'Master Data'!O34</f>
        <v>0</v>
      </c>
      <c r="P38" s="23">
        <f>'Master Data'!P34</f>
        <v>0</v>
      </c>
      <c r="Q38" s="23">
        <f>'Master Data'!Q34</f>
        <v>0</v>
      </c>
      <c r="R38" s="23">
        <f>'Master Data'!R34</f>
        <v>0</v>
      </c>
      <c r="S38" s="23">
        <f>'Master Data'!S34</f>
        <v>0</v>
      </c>
      <c r="T38" s="23">
        <f>'Master Data'!T34</f>
        <v>0</v>
      </c>
      <c r="U38" s="23">
        <f>'Master Data'!U34</f>
        <v>0</v>
      </c>
      <c r="V38" s="23">
        <f>'Master Data'!V34</f>
        <v>0</v>
      </c>
      <c r="W38" s="23">
        <f>'Master Data'!W34</f>
        <v>0</v>
      </c>
      <c r="X38" s="23">
        <f>'Master Data'!X34</f>
        <v>0</v>
      </c>
      <c r="Y38" s="23">
        <f>'Master Data'!Y34</f>
        <v>0</v>
      </c>
      <c r="Z38" s="23">
        <f>'Master Data'!Z34</f>
        <v>0</v>
      </c>
      <c r="AA38" s="23">
        <f>'Master Data'!AA34</f>
        <v>0</v>
      </c>
      <c r="AB38" s="23">
        <f>'Master Data'!AB34</f>
        <v>0</v>
      </c>
      <c r="AC38" s="23">
        <f>'Master Data'!AC34</f>
        <v>0</v>
      </c>
      <c r="AD38" s="23">
        <f>'Master Data'!AD34</f>
        <v>0</v>
      </c>
      <c r="AE38" s="23">
        <f>'Master Data'!AE34</f>
        <v>0</v>
      </c>
      <c r="AF38" s="23">
        <f>'Master Data'!AF34</f>
        <v>0</v>
      </c>
      <c r="AG38" s="23">
        <f>'Master Data'!AG34</f>
        <v>0</v>
      </c>
      <c r="AH38" s="23">
        <f>'Master Data'!AH34</f>
        <v>0</v>
      </c>
      <c r="AI38" s="23">
        <f>'Master Data'!AI34</f>
        <v>0</v>
      </c>
      <c r="AJ38" s="23">
        <f>'Master Data'!AJ34</f>
        <v>0</v>
      </c>
      <c r="AK38" s="23">
        <f>'Master Data'!AK34</f>
        <v>0</v>
      </c>
      <c r="AL38" s="23">
        <f>'Master Data'!AL34</f>
        <v>0</v>
      </c>
      <c r="AM38" s="23">
        <f>'Master Data'!AM34</f>
        <v>0</v>
      </c>
      <c r="AN38" s="23">
        <f>'Master Data'!AN34</f>
        <v>0</v>
      </c>
      <c r="AO38" s="23">
        <f>'Master Data'!AO34</f>
        <v>0</v>
      </c>
      <c r="AP38" s="23">
        <f>'Master Data'!AP34</f>
        <v>0</v>
      </c>
      <c r="AQ38" s="23">
        <f t="shared" si="6"/>
        <v>0</v>
      </c>
      <c r="AR38" s="16">
        <f t="shared" si="7"/>
        <v>0</v>
      </c>
      <c r="AS38" s="17">
        <f t="shared" si="9"/>
        <v>0</v>
      </c>
      <c r="AT38" s="16">
        <f t="shared" si="8"/>
        <v>0</v>
      </c>
    </row>
    <row r="39" spans="1:46" ht="15" customHeight="1" outlineLevel="1">
      <c r="A39" s="15" t="str">
        <f>'Master Data'!A35</f>
        <v>SWGROZ39495</v>
      </c>
      <c r="B39" s="15" t="str">
        <f>'Master Data'!B35</f>
        <v>SWG</v>
      </c>
      <c r="C39" s="15" t="str">
        <f>'Master Data'!C35</f>
        <v>SWGROZ39495</v>
      </c>
      <c r="D39" s="15" t="str">
        <f>'Master Data'!D35</f>
        <v>SWG</v>
      </c>
      <c r="E39" s="15" t="str">
        <f>'Master Data'!E35</f>
        <v>Rudrapur</v>
      </c>
      <c r="F39" s="15" t="str">
        <f>'Master Data'!F35</f>
        <v>Biscuits</v>
      </c>
      <c r="G39" s="15" t="str">
        <f>'Master Data'!G35</f>
        <v>ROZ39495</v>
      </c>
      <c r="H39" s="15" t="str">
        <f>'Master Data'!H35</f>
        <v>Samuh Milky Biscuit 70 g</v>
      </c>
      <c r="I39" s="23">
        <f>'Master Data'!I35</f>
        <v>10</v>
      </c>
      <c r="J39" s="23">
        <f>'Master Data'!J35</f>
        <v>70</v>
      </c>
      <c r="K39" s="23">
        <f>'Master Data'!K35</f>
        <v>72</v>
      </c>
      <c r="L39" s="24">
        <f>'Master Data'!L35</f>
        <v>0</v>
      </c>
      <c r="M39" s="23">
        <f>'Master Data'!M35</f>
        <v>0</v>
      </c>
      <c r="N39" s="23">
        <f>'Master Data'!N35</f>
        <v>0</v>
      </c>
      <c r="O39" s="23">
        <f>'Master Data'!O35</f>
        <v>0</v>
      </c>
      <c r="P39" s="23">
        <f>'Master Data'!P35</f>
        <v>0</v>
      </c>
      <c r="Q39" s="23">
        <f>'Master Data'!Q35</f>
        <v>0</v>
      </c>
      <c r="R39" s="23">
        <f>'Master Data'!R35</f>
        <v>0</v>
      </c>
      <c r="S39" s="23">
        <f>'Master Data'!S35</f>
        <v>0</v>
      </c>
      <c r="T39" s="23">
        <f>'Master Data'!T35</f>
        <v>0</v>
      </c>
      <c r="U39" s="23">
        <f>'Master Data'!U35</f>
        <v>0</v>
      </c>
      <c r="V39" s="23">
        <f>'Master Data'!V35</f>
        <v>0</v>
      </c>
      <c r="W39" s="23">
        <f>'Master Data'!W35</f>
        <v>0</v>
      </c>
      <c r="X39" s="23">
        <f>'Master Data'!X35</f>
        <v>0</v>
      </c>
      <c r="Y39" s="23">
        <f>'Master Data'!Y35</f>
        <v>0</v>
      </c>
      <c r="Z39" s="23">
        <f>'Master Data'!Z35</f>
        <v>0</v>
      </c>
      <c r="AA39" s="23">
        <f>'Master Data'!AA35</f>
        <v>0</v>
      </c>
      <c r="AB39" s="23">
        <f>'Master Data'!AB35</f>
        <v>0</v>
      </c>
      <c r="AC39" s="23">
        <f>'Master Data'!AC35</f>
        <v>0</v>
      </c>
      <c r="AD39" s="23">
        <f>'Master Data'!AD35</f>
        <v>0</v>
      </c>
      <c r="AE39" s="23">
        <f>'Master Data'!AE35</f>
        <v>0</v>
      </c>
      <c r="AF39" s="23">
        <f>'Master Data'!AF35</f>
        <v>0</v>
      </c>
      <c r="AG39" s="23">
        <f>'Master Data'!AG35</f>
        <v>0</v>
      </c>
      <c r="AH39" s="23">
        <f>'Master Data'!AH35</f>
        <v>0</v>
      </c>
      <c r="AI39" s="23">
        <f>'Master Data'!AI35</f>
        <v>0</v>
      </c>
      <c r="AJ39" s="23">
        <f>'Master Data'!AJ35</f>
        <v>0</v>
      </c>
      <c r="AK39" s="23">
        <f>'Master Data'!AK35</f>
        <v>0</v>
      </c>
      <c r="AL39" s="23">
        <f>'Master Data'!AL35</f>
        <v>0</v>
      </c>
      <c r="AM39" s="23">
        <f>'Master Data'!AM35</f>
        <v>0</v>
      </c>
      <c r="AN39" s="23">
        <f>'Master Data'!AN35</f>
        <v>0</v>
      </c>
      <c r="AO39" s="23">
        <f>'Master Data'!AO35</f>
        <v>0</v>
      </c>
      <c r="AP39" s="23">
        <f>'Master Data'!AP35</f>
        <v>0</v>
      </c>
      <c r="AQ39" s="23">
        <f t="shared" si="6"/>
        <v>0</v>
      </c>
      <c r="AR39" s="16">
        <f t="shared" si="7"/>
        <v>0</v>
      </c>
      <c r="AS39" s="17">
        <f t="shared" si="9"/>
        <v>0</v>
      </c>
      <c r="AT39" s="16">
        <f t="shared" si="8"/>
        <v>0</v>
      </c>
    </row>
    <row r="40" spans="1:46" ht="15" customHeight="1" outlineLevel="1">
      <c r="A40" s="15" t="str">
        <f>'Master Data'!A36</f>
        <v>SWGROZ36959</v>
      </c>
      <c r="B40" s="15" t="str">
        <f>'Master Data'!B36</f>
        <v>SWG</v>
      </c>
      <c r="C40" s="15" t="str">
        <f>'Master Data'!C36</f>
        <v>SWGROZ36959</v>
      </c>
      <c r="D40" s="15" t="str">
        <f>'Master Data'!D36</f>
        <v>SWG</v>
      </c>
      <c r="E40" s="15" t="str">
        <f>'Master Data'!E36</f>
        <v>Rudrapur</v>
      </c>
      <c r="F40" s="15" t="str">
        <f>'Master Data'!F36</f>
        <v>Biscuits</v>
      </c>
      <c r="G40" s="15" t="str">
        <f>'Master Data'!G36</f>
        <v>ROZ36959</v>
      </c>
      <c r="H40" s="15" t="str">
        <f>'Master Data'!H36</f>
        <v>Samuh Salty Sweety Biscuit 65 g</v>
      </c>
      <c r="I40" s="23">
        <f>'Master Data'!I36</f>
        <v>10</v>
      </c>
      <c r="J40" s="23">
        <f>'Master Data'!J36</f>
        <v>65</v>
      </c>
      <c r="K40" s="23">
        <f>'Master Data'!K36</f>
        <v>60</v>
      </c>
      <c r="L40" s="24">
        <f>'Master Data'!L36</f>
        <v>0</v>
      </c>
      <c r="M40" s="23">
        <f>'Master Data'!M36</f>
        <v>0</v>
      </c>
      <c r="N40" s="23">
        <f>'Master Data'!N36</f>
        <v>0</v>
      </c>
      <c r="O40" s="23">
        <f>'Master Data'!O36</f>
        <v>0</v>
      </c>
      <c r="P40" s="23">
        <f>'Master Data'!P36</f>
        <v>0</v>
      </c>
      <c r="Q40" s="23">
        <f>'Master Data'!Q36</f>
        <v>0</v>
      </c>
      <c r="R40" s="23">
        <f>'Master Data'!R36</f>
        <v>0</v>
      </c>
      <c r="S40" s="23">
        <f>'Master Data'!S36</f>
        <v>0</v>
      </c>
      <c r="T40" s="23">
        <f>'Master Data'!T36</f>
        <v>0</v>
      </c>
      <c r="U40" s="23">
        <f>'Master Data'!U36</f>
        <v>0</v>
      </c>
      <c r="V40" s="23">
        <f>'Master Data'!V36</f>
        <v>0</v>
      </c>
      <c r="W40" s="23">
        <f>'Master Data'!W36</f>
        <v>0</v>
      </c>
      <c r="X40" s="23">
        <f>'Master Data'!X36</f>
        <v>0</v>
      </c>
      <c r="Y40" s="23">
        <f>'Master Data'!Y36</f>
        <v>0</v>
      </c>
      <c r="Z40" s="23">
        <f>'Master Data'!Z36</f>
        <v>0</v>
      </c>
      <c r="AA40" s="23">
        <f>'Master Data'!AA36</f>
        <v>0</v>
      </c>
      <c r="AB40" s="23">
        <f>'Master Data'!AB36</f>
        <v>0</v>
      </c>
      <c r="AC40" s="23">
        <f>'Master Data'!AC36</f>
        <v>0</v>
      </c>
      <c r="AD40" s="23">
        <f>'Master Data'!AD36</f>
        <v>0</v>
      </c>
      <c r="AE40" s="23">
        <f>'Master Data'!AE36</f>
        <v>0</v>
      </c>
      <c r="AF40" s="23">
        <f>'Master Data'!AF36</f>
        <v>0</v>
      </c>
      <c r="AG40" s="23">
        <f>'Master Data'!AG36</f>
        <v>0</v>
      </c>
      <c r="AH40" s="23">
        <f>'Master Data'!AH36</f>
        <v>0</v>
      </c>
      <c r="AI40" s="23">
        <f>'Master Data'!AI36</f>
        <v>0</v>
      </c>
      <c r="AJ40" s="23">
        <f>'Master Data'!AJ36</f>
        <v>0</v>
      </c>
      <c r="AK40" s="23">
        <f>'Master Data'!AK36</f>
        <v>0</v>
      </c>
      <c r="AL40" s="23">
        <f>'Master Data'!AL36</f>
        <v>0</v>
      </c>
      <c r="AM40" s="23">
        <f>'Master Data'!AM36</f>
        <v>0</v>
      </c>
      <c r="AN40" s="23">
        <f>'Master Data'!AN36</f>
        <v>0</v>
      </c>
      <c r="AO40" s="23">
        <f>'Master Data'!AO36</f>
        <v>0</v>
      </c>
      <c r="AP40" s="23">
        <f>'Master Data'!AP36</f>
        <v>0</v>
      </c>
      <c r="AQ40" s="23">
        <f t="shared" si="6"/>
        <v>0</v>
      </c>
      <c r="AR40" s="16">
        <f t="shared" si="7"/>
        <v>0</v>
      </c>
      <c r="AS40" s="17">
        <f t="shared" si="9"/>
        <v>0</v>
      </c>
      <c r="AT40" s="16">
        <f t="shared" si="8"/>
        <v>0</v>
      </c>
    </row>
    <row r="41" spans="1:46" ht="15" customHeight="1" outlineLevel="1">
      <c r="A41" s="15" t="str">
        <f>'Master Data'!A37</f>
        <v>SWGROZ36958</v>
      </c>
      <c r="B41" s="15" t="str">
        <f>'Master Data'!B37</f>
        <v>SWG</v>
      </c>
      <c r="C41" s="15" t="str">
        <f>'Master Data'!C37</f>
        <v>SWGROZ36958</v>
      </c>
      <c r="D41" s="15" t="str">
        <f>'Master Data'!D37</f>
        <v>SWG</v>
      </c>
      <c r="E41" s="15" t="str">
        <f>'Master Data'!E37</f>
        <v>Rudrapur</v>
      </c>
      <c r="F41" s="15" t="str">
        <f>'Master Data'!F37</f>
        <v>Biscuits</v>
      </c>
      <c r="G41" s="15" t="str">
        <f>'Master Data'!G37</f>
        <v>ROZ36958</v>
      </c>
      <c r="H41" s="15" t="str">
        <f>'Master Data'!H37</f>
        <v>Samuh Butter Cookies Biscuit 65g</v>
      </c>
      <c r="I41" s="23">
        <f>'Master Data'!I37</f>
        <v>10</v>
      </c>
      <c r="J41" s="23">
        <f>'Master Data'!J37</f>
        <v>65</v>
      </c>
      <c r="K41" s="23">
        <f>'Master Data'!K37</f>
        <v>60</v>
      </c>
      <c r="L41" s="24">
        <f>'Master Data'!L37</f>
        <v>0</v>
      </c>
      <c r="M41" s="23">
        <f>'Master Data'!M37</f>
        <v>0</v>
      </c>
      <c r="N41" s="23">
        <f>'Master Data'!N37</f>
        <v>0</v>
      </c>
      <c r="O41" s="23">
        <f>'Master Data'!O37</f>
        <v>0</v>
      </c>
      <c r="P41" s="23">
        <f>'Master Data'!P37</f>
        <v>0</v>
      </c>
      <c r="Q41" s="23">
        <f>'Master Data'!Q37</f>
        <v>0</v>
      </c>
      <c r="R41" s="23">
        <f>'Master Data'!R37</f>
        <v>0</v>
      </c>
      <c r="S41" s="23">
        <f>'Master Data'!S37</f>
        <v>0</v>
      </c>
      <c r="T41" s="23">
        <f>'Master Data'!T37</f>
        <v>0</v>
      </c>
      <c r="U41" s="23">
        <f>'Master Data'!U37</f>
        <v>0</v>
      </c>
      <c r="V41" s="23">
        <f>'Master Data'!V37</f>
        <v>0</v>
      </c>
      <c r="W41" s="23">
        <f>'Master Data'!W37</f>
        <v>0</v>
      </c>
      <c r="X41" s="23">
        <f>'Master Data'!X37</f>
        <v>0</v>
      </c>
      <c r="Y41" s="23">
        <f>'Master Data'!Y37</f>
        <v>0</v>
      </c>
      <c r="Z41" s="23">
        <f>'Master Data'!Z37</f>
        <v>0</v>
      </c>
      <c r="AA41" s="23">
        <f>'Master Data'!AA37</f>
        <v>0</v>
      </c>
      <c r="AB41" s="23">
        <f>'Master Data'!AB37</f>
        <v>0</v>
      </c>
      <c r="AC41" s="23">
        <f>'Master Data'!AC37</f>
        <v>0</v>
      </c>
      <c r="AD41" s="23">
        <f>'Master Data'!AD37</f>
        <v>0</v>
      </c>
      <c r="AE41" s="23">
        <f>'Master Data'!AE37</f>
        <v>0</v>
      </c>
      <c r="AF41" s="23">
        <f>'Master Data'!AF37</f>
        <v>0</v>
      </c>
      <c r="AG41" s="23">
        <f>'Master Data'!AG37</f>
        <v>0</v>
      </c>
      <c r="AH41" s="23">
        <f>'Master Data'!AH37</f>
        <v>0</v>
      </c>
      <c r="AI41" s="23">
        <f>'Master Data'!AI37</f>
        <v>0</v>
      </c>
      <c r="AJ41" s="23">
        <f>'Master Data'!AJ37</f>
        <v>0</v>
      </c>
      <c r="AK41" s="23">
        <f>'Master Data'!AK37</f>
        <v>0</v>
      </c>
      <c r="AL41" s="23">
        <f>'Master Data'!AL37</f>
        <v>0</v>
      </c>
      <c r="AM41" s="23">
        <f>'Master Data'!AM37</f>
        <v>0</v>
      </c>
      <c r="AN41" s="23">
        <f>'Master Data'!AN37</f>
        <v>0</v>
      </c>
      <c r="AO41" s="23">
        <f>'Master Data'!AO37</f>
        <v>0</v>
      </c>
      <c r="AP41" s="23">
        <f>'Master Data'!AP37</f>
        <v>0</v>
      </c>
      <c r="AQ41" s="23">
        <f t="shared" si="6"/>
        <v>0</v>
      </c>
      <c r="AR41" s="16">
        <f t="shared" si="7"/>
        <v>0</v>
      </c>
      <c r="AS41" s="17">
        <f t="shared" si="9"/>
        <v>0</v>
      </c>
      <c r="AT41" s="16">
        <f t="shared" si="8"/>
        <v>0</v>
      </c>
    </row>
    <row r="42" spans="1:46" ht="15" customHeight="1" outlineLevel="1">
      <c r="A42" s="15" t="str">
        <f>'Master Data'!A38</f>
        <v>SWGROZ36962</v>
      </c>
      <c r="B42" s="15" t="str">
        <f>'Master Data'!B38</f>
        <v>SWG</v>
      </c>
      <c r="C42" s="15" t="str">
        <f>'Master Data'!C38</f>
        <v>SWGROZ36962</v>
      </c>
      <c r="D42" s="15" t="str">
        <f>'Master Data'!D38</f>
        <v>SWG</v>
      </c>
      <c r="E42" s="15" t="str">
        <f>'Master Data'!E38</f>
        <v>Rudrapur</v>
      </c>
      <c r="F42" s="15" t="str">
        <f>'Master Data'!F38</f>
        <v>Biscuits</v>
      </c>
      <c r="G42" s="15" t="str">
        <f>'Master Data'!G38</f>
        <v>ROZ36962</v>
      </c>
      <c r="H42" s="15" t="str">
        <f>'Master Data'!H38</f>
        <v>Samuh Marie Biscuit 75g</v>
      </c>
      <c r="I42" s="23">
        <f>'Master Data'!I38</f>
        <v>10</v>
      </c>
      <c r="J42" s="23">
        <f>'Master Data'!J38</f>
        <v>75</v>
      </c>
      <c r="K42" s="23">
        <f>'Master Data'!K38</f>
        <v>72</v>
      </c>
      <c r="L42" s="24">
        <f>'Master Data'!L38</f>
        <v>0</v>
      </c>
      <c r="M42" s="23">
        <f>'Master Data'!M38</f>
        <v>0</v>
      </c>
      <c r="N42" s="23">
        <f>'Master Data'!N38</f>
        <v>0</v>
      </c>
      <c r="O42" s="23">
        <f>'Master Data'!O38</f>
        <v>0</v>
      </c>
      <c r="P42" s="23">
        <f>'Master Data'!P38</f>
        <v>0</v>
      </c>
      <c r="Q42" s="23">
        <f>'Master Data'!Q38</f>
        <v>0</v>
      </c>
      <c r="R42" s="23">
        <f>'Master Data'!R38</f>
        <v>0</v>
      </c>
      <c r="S42" s="23">
        <f>'Master Data'!S38</f>
        <v>0</v>
      </c>
      <c r="T42" s="23">
        <f>'Master Data'!T38</f>
        <v>0</v>
      </c>
      <c r="U42" s="23">
        <f>'Master Data'!U38</f>
        <v>0</v>
      </c>
      <c r="V42" s="23">
        <f>'Master Data'!V38</f>
        <v>0</v>
      </c>
      <c r="W42" s="23">
        <f>'Master Data'!W38</f>
        <v>0</v>
      </c>
      <c r="X42" s="23">
        <f>'Master Data'!X38</f>
        <v>0</v>
      </c>
      <c r="Y42" s="23">
        <f>'Master Data'!Y38</f>
        <v>0</v>
      </c>
      <c r="Z42" s="23">
        <f>'Master Data'!Z38</f>
        <v>0</v>
      </c>
      <c r="AA42" s="23">
        <f>'Master Data'!AA38</f>
        <v>0</v>
      </c>
      <c r="AB42" s="23">
        <f>'Master Data'!AB38</f>
        <v>0</v>
      </c>
      <c r="AC42" s="23">
        <f>'Master Data'!AC38</f>
        <v>0</v>
      </c>
      <c r="AD42" s="23">
        <f>'Master Data'!AD38</f>
        <v>0</v>
      </c>
      <c r="AE42" s="23">
        <f>'Master Data'!AE38</f>
        <v>0</v>
      </c>
      <c r="AF42" s="23">
        <f>'Master Data'!AF38</f>
        <v>0</v>
      </c>
      <c r="AG42" s="23">
        <f>'Master Data'!AG38</f>
        <v>0</v>
      </c>
      <c r="AH42" s="23">
        <f>'Master Data'!AH38</f>
        <v>0</v>
      </c>
      <c r="AI42" s="23">
        <f>'Master Data'!AI38</f>
        <v>0</v>
      </c>
      <c r="AJ42" s="23">
        <f>'Master Data'!AJ38</f>
        <v>0</v>
      </c>
      <c r="AK42" s="23">
        <f>'Master Data'!AK38</f>
        <v>0</v>
      </c>
      <c r="AL42" s="23">
        <f>'Master Data'!AL38</f>
        <v>0</v>
      </c>
      <c r="AM42" s="23">
        <f>'Master Data'!AM38</f>
        <v>0</v>
      </c>
      <c r="AN42" s="23">
        <f>'Master Data'!AN38</f>
        <v>0</v>
      </c>
      <c r="AO42" s="23">
        <f>'Master Data'!AO38</f>
        <v>0</v>
      </c>
      <c r="AP42" s="23">
        <f>'Master Data'!AP38</f>
        <v>0</v>
      </c>
      <c r="AQ42" s="23">
        <f t="shared" si="6"/>
        <v>0</v>
      </c>
      <c r="AR42" s="16">
        <f t="shared" si="7"/>
        <v>0</v>
      </c>
      <c r="AS42" s="17">
        <f t="shared" si="9"/>
        <v>0</v>
      </c>
      <c r="AT42" s="16">
        <f t="shared" si="8"/>
        <v>0</v>
      </c>
    </row>
    <row r="43" spans="1:46" ht="15" customHeight="1" outlineLevel="1">
      <c r="A43" s="15" t="str">
        <f>'Master Data'!A39</f>
        <v>SWGROZ36961</v>
      </c>
      <c r="B43" s="15" t="str">
        <f>'Master Data'!B39</f>
        <v>SWG</v>
      </c>
      <c r="C43" s="15" t="str">
        <f>'Master Data'!C39</f>
        <v>SWGROZ36961</v>
      </c>
      <c r="D43" s="15" t="str">
        <f>'Master Data'!D39</f>
        <v>SWG</v>
      </c>
      <c r="E43" s="15" t="str">
        <f>'Master Data'!E39</f>
        <v>Rudrapur</v>
      </c>
      <c r="F43" s="15" t="str">
        <f>'Master Data'!F39</f>
        <v>Biscuits</v>
      </c>
      <c r="G43" s="15" t="str">
        <f>'Master Data'!G39</f>
        <v>ROZ36961</v>
      </c>
      <c r="H43" s="15" t="str">
        <f>'Master Data'!H39</f>
        <v>Samuh Butter Kalonji Bliss 65g</v>
      </c>
      <c r="I43" s="23">
        <f>'Master Data'!I39</f>
        <v>10</v>
      </c>
      <c r="J43" s="23">
        <f>'Master Data'!J39</f>
        <v>65</v>
      </c>
      <c r="K43" s="23">
        <f>'Master Data'!K39</f>
        <v>72</v>
      </c>
      <c r="L43" s="24">
        <f>'Master Data'!L39</f>
        <v>0</v>
      </c>
      <c r="M43" s="23">
        <f>'Master Data'!M39</f>
        <v>0</v>
      </c>
      <c r="N43" s="23">
        <f>'Master Data'!N39</f>
        <v>0</v>
      </c>
      <c r="O43" s="23">
        <f>'Master Data'!O39</f>
        <v>0</v>
      </c>
      <c r="P43" s="23">
        <f>'Master Data'!P39</f>
        <v>0</v>
      </c>
      <c r="Q43" s="23">
        <f>'Master Data'!Q39</f>
        <v>0</v>
      </c>
      <c r="R43" s="23">
        <f>'Master Data'!R39</f>
        <v>0</v>
      </c>
      <c r="S43" s="23">
        <f>'Master Data'!S39</f>
        <v>0</v>
      </c>
      <c r="T43" s="23">
        <f>'Master Data'!T39</f>
        <v>0</v>
      </c>
      <c r="U43" s="23">
        <f>'Master Data'!U39</f>
        <v>0</v>
      </c>
      <c r="V43" s="23">
        <f>'Master Data'!V39</f>
        <v>0</v>
      </c>
      <c r="W43" s="23">
        <f>'Master Data'!W39</f>
        <v>0</v>
      </c>
      <c r="X43" s="23">
        <f>'Master Data'!X39</f>
        <v>0</v>
      </c>
      <c r="Y43" s="23">
        <f>'Master Data'!Y39</f>
        <v>0</v>
      </c>
      <c r="Z43" s="23">
        <f>'Master Data'!Z39</f>
        <v>0</v>
      </c>
      <c r="AA43" s="23">
        <f>'Master Data'!AA39</f>
        <v>0</v>
      </c>
      <c r="AB43" s="23">
        <f>'Master Data'!AB39</f>
        <v>0</v>
      </c>
      <c r="AC43" s="23">
        <f>'Master Data'!AC39</f>
        <v>0</v>
      </c>
      <c r="AD43" s="23">
        <f>'Master Data'!AD39</f>
        <v>0</v>
      </c>
      <c r="AE43" s="23">
        <f>'Master Data'!AE39</f>
        <v>0</v>
      </c>
      <c r="AF43" s="23">
        <f>'Master Data'!AF39</f>
        <v>0</v>
      </c>
      <c r="AG43" s="23">
        <f>'Master Data'!AG39</f>
        <v>0</v>
      </c>
      <c r="AH43" s="23">
        <f>'Master Data'!AH39</f>
        <v>0</v>
      </c>
      <c r="AI43" s="23">
        <f>'Master Data'!AI39</f>
        <v>0</v>
      </c>
      <c r="AJ43" s="23">
        <f>'Master Data'!AJ39</f>
        <v>0</v>
      </c>
      <c r="AK43" s="23">
        <f>'Master Data'!AK39</f>
        <v>0</v>
      </c>
      <c r="AL43" s="23">
        <f>'Master Data'!AL39</f>
        <v>0</v>
      </c>
      <c r="AM43" s="23">
        <f>'Master Data'!AM39</f>
        <v>0</v>
      </c>
      <c r="AN43" s="23">
        <f>'Master Data'!AN39</f>
        <v>0</v>
      </c>
      <c r="AO43" s="23">
        <f>'Master Data'!AO39</f>
        <v>0</v>
      </c>
      <c r="AP43" s="23">
        <f>'Master Data'!AP39</f>
        <v>0</v>
      </c>
      <c r="AQ43" s="23">
        <f t="shared" si="6"/>
        <v>0</v>
      </c>
      <c r="AR43" s="16">
        <f t="shared" si="7"/>
        <v>0</v>
      </c>
      <c r="AS43" s="17">
        <f t="shared" si="9"/>
        <v>0</v>
      </c>
      <c r="AT43" s="16">
        <f t="shared" si="8"/>
        <v>0</v>
      </c>
    </row>
    <row r="44" spans="1:46" ht="15" customHeight="1" outlineLevel="1">
      <c r="A44" s="15" t="str">
        <f>'Master Data'!A40</f>
        <v>SWGROZ36960</v>
      </c>
      <c r="B44" s="15" t="str">
        <f>'Master Data'!B40</f>
        <v>SWG</v>
      </c>
      <c r="C44" s="15" t="str">
        <f>'Master Data'!C40</f>
        <v>SWGROZ36960</v>
      </c>
      <c r="D44" s="15" t="str">
        <f>'Master Data'!D40</f>
        <v>SWG</v>
      </c>
      <c r="E44" s="15" t="str">
        <f>'Master Data'!E40</f>
        <v>Rudrapur</v>
      </c>
      <c r="F44" s="15" t="str">
        <f>'Master Data'!F40</f>
        <v>Biscuits</v>
      </c>
      <c r="G44" s="15" t="str">
        <f>'Master Data'!G40</f>
        <v>ROZ36960</v>
      </c>
      <c r="H44" s="15" t="str">
        <f>'Master Data'!H40</f>
        <v>Samuh Butter Cashew Biscuit 60g</v>
      </c>
      <c r="I44" s="23">
        <f>'Master Data'!I40</f>
        <v>10</v>
      </c>
      <c r="J44" s="23">
        <f>'Master Data'!J40</f>
        <v>60</v>
      </c>
      <c r="K44" s="23">
        <f>'Master Data'!K40</f>
        <v>60</v>
      </c>
      <c r="L44" s="24">
        <f>'Master Data'!L40</f>
        <v>0</v>
      </c>
      <c r="M44" s="23">
        <f>'Master Data'!M40</f>
        <v>0</v>
      </c>
      <c r="N44" s="23">
        <f>'Master Data'!N40</f>
        <v>0</v>
      </c>
      <c r="O44" s="23">
        <f>'Master Data'!O40</f>
        <v>0</v>
      </c>
      <c r="P44" s="23">
        <f>'Master Data'!P40</f>
        <v>0</v>
      </c>
      <c r="Q44" s="23">
        <f>'Master Data'!Q40</f>
        <v>0</v>
      </c>
      <c r="R44" s="23">
        <f>'Master Data'!R40</f>
        <v>0</v>
      </c>
      <c r="S44" s="23">
        <f>'Master Data'!S40</f>
        <v>0</v>
      </c>
      <c r="T44" s="23">
        <f>'Master Data'!T40</f>
        <v>0</v>
      </c>
      <c r="U44" s="23">
        <f>'Master Data'!U40</f>
        <v>0</v>
      </c>
      <c r="V44" s="23">
        <f>'Master Data'!V40</f>
        <v>0</v>
      </c>
      <c r="W44" s="23">
        <f>'Master Data'!W40</f>
        <v>0</v>
      </c>
      <c r="X44" s="23">
        <f>'Master Data'!X40</f>
        <v>0</v>
      </c>
      <c r="Y44" s="23">
        <f>'Master Data'!Y40</f>
        <v>0</v>
      </c>
      <c r="Z44" s="23">
        <f>'Master Data'!Z40</f>
        <v>0</v>
      </c>
      <c r="AA44" s="23">
        <f>'Master Data'!AA40</f>
        <v>0</v>
      </c>
      <c r="AB44" s="23">
        <f>'Master Data'!AB40</f>
        <v>0</v>
      </c>
      <c r="AC44" s="23">
        <f>'Master Data'!AC40</f>
        <v>0</v>
      </c>
      <c r="AD44" s="23">
        <f>'Master Data'!AD40</f>
        <v>0</v>
      </c>
      <c r="AE44" s="23">
        <f>'Master Data'!AE40</f>
        <v>0</v>
      </c>
      <c r="AF44" s="23">
        <f>'Master Data'!AF40</f>
        <v>0</v>
      </c>
      <c r="AG44" s="23">
        <f>'Master Data'!AG40</f>
        <v>0</v>
      </c>
      <c r="AH44" s="23">
        <f>'Master Data'!AH40</f>
        <v>0</v>
      </c>
      <c r="AI44" s="23">
        <f>'Master Data'!AI40</f>
        <v>0</v>
      </c>
      <c r="AJ44" s="23">
        <f>'Master Data'!AJ40</f>
        <v>0</v>
      </c>
      <c r="AK44" s="23">
        <f>'Master Data'!AK40</f>
        <v>0</v>
      </c>
      <c r="AL44" s="23">
        <f>'Master Data'!AL40</f>
        <v>0</v>
      </c>
      <c r="AM44" s="23">
        <f>'Master Data'!AM40</f>
        <v>0</v>
      </c>
      <c r="AN44" s="23">
        <f>'Master Data'!AN40</f>
        <v>0</v>
      </c>
      <c r="AO44" s="23">
        <f>'Master Data'!AO40</f>
        <v>0</v>
      </c>
      <c r="AP44" s="23">
        <f>'Master Data'!AP40</f>
        <v>0</v>
      </c>
      <c r="AQ44" s="23">
        <f t="shared" si="6"/>
        <v>0</v>
      </c>
      <c r="AR44" s="16">
        <f t="shared" si="7"/>
        <v>0</v>
      </c>
      <c r="AS44" s="17">
        <f t="shared" si="9"/>
        <v>0</v>
      </c>
      <c r="AT44" s="16">
        <f t="shared" si="8"/>
        <v>0</v>
      </c>
    </row>
    <row r="45" spans="1:46" ht="15" customHeight="1" outlineLevel="1">
      <c r="A45" s="15" t="str">
        <f>'Master Data'!A41</f>
        <v>SWGROZ23760</v>
      </c>
      <c r="B45" s="15" t="str">
        <f>'Master Data'!B41</f>
        <v>SWG</v>
      </c>
      <c r="C45" s="15" t="str">
        <f>'Master Data'!C41</f>
        <v>SWGROZ23760</v>
      </c>
      <c r="D45" s="15" t="str">
        <f>'Master Data'!D41</f>
        <v>SWG</v>
      </c>
      <c r="E45" s="15" t="str">
        <f>'Master Data'!E41</f>
        <v>Rudrapur</v>
      </c>
      <c r="F45" s="15" t="str">
        <f>'Master Data'!F41</f>
        <v>Rusk</v>
      </c>
      <c r="G45" s="15" t="str">
        <f>'Master Data'!G41</f>
        <v>ROZ23760</v>
      </c>
      <c r="H45" s="15" t="str">
        <f>'Master Data'!H41</f>
        <v>Samuh Elaichi Rusk 130 g</v>
      </c>
      <c r="I45" s="23">
        <f>'Master Data'!I41</f>
        <v>20</v>
      </c>
      <c r="J45" s="23">
        <f>'Master Data'!J41</f>
        <v>130</v>
      </c>
      <c r="K45" s="23">
        <f>'Master Data'!K41</f>
        <v>24</v>
      </c>
      <c r="L45" s="24">
        <f>'Master Data'!L41</f>
        <v>0</v>
      </c>
      <c r="M45" s="23">
        <f>'Master Data'!M41</f>
        <v>0</v>
      </c>
      <c r="N45" s="23">
        <f>'Master Data'!N41</f>
        <v>0</v>
      </c>
      <c r="O45" s="23">
        <f>'Master Data'!O41</f>
        <v>0</v>
      </c>
      <c r="P45" s="23">
        <f>'Master Data'!P41</f>
        <v>0</v>
      </c>
      <c r="Q45" s="23">
        <f>'Master Data'!Q41</f>
        <v>0</v>
      </c>
      <c r="R45" s="23">
        <f>'Master Data'!R41</f>
        <v>0</v>
      </c>
      <c r="S45" s="23">
        <f>'Master Data'!S41</f>
        <v>0</v>
      </c>
      <c r="T45" s="23">
        <f>'Master Data'!T41</f>
        <v>0</v>
      </c>
      <c r="U45" s="23">
        <f>'Master Data'!U41</f>
        <v>0</v>
      </c>
      <c r="V45" s="23">
        <f>'Master Data'!V41</f>
        <v>0</v>
      </c>
      <c r="W45" s="23">
        <f>'Master Data'!W41</f>
        <v>0</v>
      </c>
      <c r="X45" s="23">
        <f>'Master Data'!X41</f>
        <v>0</v>
      </c>
      <c r="Y45" s="23">
        <f>'Master Data'!Y41</f>
        <v>0</v>
      </c>
      <c r="Z45" s="23">
        <f>'Master Data'!Z41</f>
        <v>0</v>
      </c>
      <c r="AA45" s="23">
        <f>'Master Data'!AA41</f>
        <v>0</v>
      </c>
      <c r="AB45" s="23">
        <f>'Master Data'!AB41</f>
        <v>0</v>
      </c>
      <c r="AC45" s="23">
        <f>'Master Data'!AC41</f>
        <v>0</v>
      </c>
      <c r="AD45" s="23">
        <f>'Master Data'!AD41</f>
        <v>0</v>
      </c>
      <c r="AE45" s="23">
        <f>'Master Data'!AE41</f>
        <v>0</v>
      </c>
      <c r="AF45" s="23">
        <f>'Master Data'!AF41</f>
        <v>0</v>
      </c>
      <c r="AG45" s="23">
        <f>'Master Data'!AG41</f>
        <v>0</v>
      </c>
      <c r="AH45" s="23">
        <f>'Master Data'!AH41</f>
        <v>0</v>
      </c>
      <c r="AI45" s="23">
        <f>'Master Data'!AI41</f>
        <v>0</v>
      </c>
      <c r="AJ45" s="23">
        <f>'Master Data'!AJ41</f>
        <v>0</v>
      </c>
      <c r="AK45" s="23">
        <f>'Master Data'!AK41</f>
        <v>0</v>
      </c>
      <c r="AL45" s="23">
        <f>'Master Data'!AL41</f>
        <v>0</v>
      </c>
      <c r="AM45" s="23">
        <f>'Master Data'!AM41</f>
        <v>0</v>
      </c>
      <c r="AN45" s="23">
        <f>'Master Data'!AN41</f>
        <v>0</v>
      </c>
      <c r="AO45" s="23">
        <f>'Master Data'!AO41</f>
        <v>0</v>
      </c>
      <c r="AP45" s="23">
        <f>'Master Data'!AP41</f>
        <v>0</v>
      </c>
      <c r="AQ45" s="23">
        <f t="shared" si="6"/>
        <v>0</v>
      </c>
      <c r="AR45" s="16">
        <f t="shared" si="7"/>
        <v>0</v>
      </c>
      <c r="AS45" s="17">
        <f t="shared" si="9"/>
        <v>0</v>
      </c>
      <c r="AT45" s="16">
        <f t="shared" si="8"/>
        <v>0</v>
      </c>
    </row>
    <row r="46" spans="1:46" ht="15" customHeight="1" outlineLevel="1">
      <c r="A46" s="15" t="str">
        <f>'Master Data'!A42</f>
        <v>SWGROZ23759</v>
      </c>
      <c r="B46" s="15" t="str">
        <f>'Master Data'!B42</f>
        <v>SWG</v>
      </c>
      <c r="C46" s="15" t="str">
        <f>'Master Data'!C42</f>
        <v>SWGROZ23759</v>
      </c>
      <c r="D46" s="15" t="str">
        <f>'Master Data'!D42</f>
        <v>SWG</v>
      </c>
      <c r="E46" s="15" t="str">
        <f>'Master Data'!E42</f>
        <v>Rudrapur</v>
      </c>
      <c r="F46" s="15" t="str">
        <f>'Master Data'!F42</f>
        <v>Rusk</v>
      </c>
      <c r="G46" s="15" t="str">
        <f>'Master Data'!G42</f>
        <v>ROZ23759</v>
      </c>
      <c r="H46" s="15" t="str">
        <f>'Master Data'!H42</f>
        <v>Samuh Elaichi Rusk 65 g</v>
      </c>
      <c r="I46" s="23">
        <f>'Master Data'!I42</f>
        <v>10</v>
      </c>
      <c r="J46" s="23">
        <f>'Master Data'!J42</f>
        <v>65</v>
      </c>
      <c r="K46" s="23">
        <f>'Master Data'!K42</f>
        <v>24</v>
      </c>
      <c r="L46" s="24">
        <f>'Master Data'!L42</f>
        <v>0</v>
      </c>
      <c r="M46" s="23">
        <f>'Master Data'!M42</f>
        <v>0</v>
      </c>
      <c r="N46" s="23">
        <f>'Master Data'!N42</f>
        <v>0</v>
      </c>
      <c r="O46" s="23">
        <f>'Master Data'!O42</f>
        <v>0</v>
      </c>
      <c r="P46" s="23">
        <f>'Master Data'!P42</f>
        <v>0</v>
      </c>
      <c r="Q46" s="23">
        <f>'Master Data'!Q42</f>
        <v>0</v>
      </c>
      <c r="R46" s="23">
        <f>'Master Data'!R42</f>
        <v>0</v>
      </c>
      <c r="S46" s="23">
        <f>'Master Data'!S42</f>
        <v>0</v>
      </c>
      <c r="T46" s="23">
        <f>'Master Data'!T42</f>
        <v>0</v>
      </c>
      <c r="U46" s="23">
        <f>'Master Data'!U42</f>
        <v>0</v>
      </c>
      <c r="V46" s="23">
        <f>'Master Data'!V42</f>
        <v>0</v>
      </c>
      <c r="W46" s="23">
        <f>'Master Data'!W42</f>
        <v>0</v>
      </c>
      <c r="X46" s="23">
        <f>'Master Data'!X42</f>
        <v>0</v>
      </c>
      <c r="Y46" s="23">
        <f>'Master Data'!Y42</f>
        <v>0</v>
      </c>
      <c r="Z46" s="23">
        <f>'Master Data'!Z42</f>
        <v>0</v>
      </c>
      <c r="AA46" s="23">
        <f>'Master Data'!AA42</f>
        <v>0</v>
      </c>
      <c r="AB46" s="23">
        <f>'Master Data'!AB42</f>
        <v>0</v>
      </c>
      <c r="AC46" s="23">
        <f>'Master Data'!AC42</f>
        <v>0</v>
      </c>
      <c r="AD46" s="23">
        <f>'Master Data'!AD42</f>
        <v>0</v>
      </c>
      <c r="AE46" s="23">
        <f>'Master Data'!AE42</f>
        <v>0</v>
      </c>
      <c r="AF46" s="23">
        <f>'Master Data'!AF42</f>
        <v>0</v>
      </c>
      <c r="AG46" s="23">
        <f>'Master Data'!AG42</f>
        <v>0</v>
      </c>
      <c r="AH46" s="23">
        <f>'Master Data'!AH42</f>
        <v>0</v>
      </c>
      <c r="AI46" s="23">
        <f>'Master Data'!AI42</f>
        <v>0</v>
      </c>
      <c r="AJ46" s="23">
        <f>'Master Data'!AJ42</f>
        <v>0</v>
      </c>
      <c r="AK46" s="23">
        <f>'Master Data'!AK42</f>
        <v>0</v>
      </c>
      <c r="AL46" s="23">
        <f>'Master Data'!AL42</f>
        <v>0</v>
      </c>
      <c r="AM46" s="23">
        <f>'Master Data'!AM42</f>
        <v>0</v>
      </c>
      <c r="AN46" s="23">
        <f>'Master Data'!AN42</f>
        <v>0</v>
      </c>
      <c r="AO46" s="23">
        <f>'Master Data'!AO42</f>
        <v>0</v>
      </c>
      <c r="AP46" s="23">
        <f>'Master Data'!AP42</f>
        <v>0</v>
      </c>
      <c r="AQ46" s="23">
        <f t="shared" si="6"/>
        <v>0</v>
      </c>
      <c r="AR46" s="16">
        <f t="shared" si="7"/>
        <v>0</v>
      </c>
      <c r="AS46" s="17">
        <f t="shared" si="9"/>
        <v>0</v>
      </c>
      <c r="AT46" s="16">
        <f t="shared" si="8"/>
        <v>0</v>
      </c>
    </row>
    <row r="47" spans="1:46" ht="15" customHeight="1" outlineLevel="1">
      <c r="A47" s="15" t="str">
        <f>'Master Data'!A43</f>
        <v>SWGROZ50020</v>
      </c>
      <c r="B47" s="15" t="str">
        <f>'Master Data'!B43</f>
        <v>SWG</v>
      </c>
      <c r="C47" s="15" t="str">
        <f>'Master Data'!C43</f>
        <v>SWGROZ50020</v>
      </c>
      <c r="D47" s="15" t="str">
        <f>'Master Data'!D43</f>
        <v>SWG</v>
      </c>
      <c r="E47" s="15" t="str">
        <f>'Master Data'!E43</f>
        <v>Rudrapur</v>
      </c>
      <c r="F47" s="15" t="str">
        <f>'Master Data'!F43</f>
        <v>Biscuits</v>
      </c>
      <c r="G47" s="15" t="str">
        <f>'Master Data'!G43</f>
        <v>ROZ50020</v>
      </c>
      <c r="H47" s="15" t="str">
        <f>'Master Data'!H43</f>
        <v xml:space="preserve">Samuh Marie Biscuit 35 g	</v>
      </c>
      <c r="I47" s="23">
        <f>'Master Data'!I43</f>
        <v>5</v>
      </c>
      <c r="J47" s="23">
        <f>'Master Data'!J43</f>
        <v>35</v>
      </c>
      <c r="K47" s="23">
        <f>'Master Data'!K43</f>
        <v>144</v>
      </c>
      <c r="L47" s="24">
        <f>'Master Data'!L43</f>
        <v>0</v>
      </c>
      <c r="M47" s="23">
        <f>'Master Data'!M43</f>
        <v>0</v>
      </c>
      <c r="N47" s="23">
        <f>'Master Data'!N43</f>
        <v>0</v>
      </c>
      <c r="O47" s="23">
        <f>'Master Data'!O43</f>
        <v>0</v>
      </c>
      <c r="P47" s="23">
        <f>'Master Data'!P43</f>
        <v>0</v>
      </c>
      <c r="Q47" s="23">
        <f>'Master Data'!Q43</f>
        <v>0</v>
      </c>
      <c r="R47" s="23">
        <f>'Master Data'!R43</f>
        <v>0</v>
      </c>
      <c r="S47" s="23">
        <f>'Master Data'!S43</f>
        <v>0</v>
      </c>
      <c r="T47" s="23">
        <f>'Master Data'!T43</f>
        <v>0</v>
      </c>
      <c r="U47" s="23">
        <f>'Master Data'!U43</f>
        <v>0</v>
      </c>
      <c r="V47" s="23">
        <f>'Master Data'!V43</f>
        <v>0</v>
      </c>
      <c r="W47" s="23">
        <f>'Master Data'!W43</f>
        <v>0</v>
      </c>
      <c r="X47" s="23">
        <f>'Master Data'!X43</f>
        <v>0</v>
      </c>
      <c r="Y47" s="23">
        <f>'Master Data'!Y43</f>
        <v>0</v>
      </c>
      <c r="Z47" s="23">
        <f>'Master Data'!Z43</f>
        <v>0</v>
      </c>
      <c r="AA47" s="23">
        <f>'Master Data'!AA43</f>
        <v>0</v>
      </c>
      <c r="AB47" s="23">
        <f>'Master Data'!AB43</f>
        <v>0</v>
      </c>
      <c r="AC47" s="23">
        <f>'Master Data'!AC43</f>
        <v>0</v>
      </c>
      <c r="AD47" s="23">
        <f>'Master Data'!AD43</f>
        <v>0</v>
      </c>
      <c r="AE47" s="23">
        <f>'Master Data'!AE43</f>
        <v>0</v>
      </c>
      <c r="AF47" s="23">
        <f>'Master Data'!AF43</f>
        <v>0</v>
      </c>
      <c r="AG47" s="23">
        <f>'Master Data'!AG43</f>
        <v>0</v>
      </c>
      <c r="AH47" s="23">
        <f>'Master Data'!AH43</f>
        <v>0</v>
      </c>
      <c r="AI47" s="23">
        <f>'Master Data'!AI43</f>
        <v>0</v>
      </c>
      <c r="AJ47" s="23">
        <f>'Master Data'!AJ43</f>
        <v>0</v>
      </c>
      <c r="AK47" s="23">
        <f>'Master Data'!AK43</f>
        <v>0</v>
      </c>
      <c r="AL47" s="23">
        <f>'Master Data'!AL43</f>
        <v>0</v>
      </c>
      <c r="AM47" s="23">
        <f>'Master Data'!AM43</f>
        <v>0</v>
      </c>
      <c r="AN47" s="23">
        <f>'Master Data'!AN43</f>
        <v>0</v>
      </c>
      <c r="AO47" s="23">
        <f>'Master Data'!AO43</f>
        <v>0</v>
      </c>
      <c r="AP47" s="23">
        <f>'Master Data'!AP43</f>
        <v>0</v>
      </c>
      <c r="AQ47" s="23">
        <f t="shared" si="6"/>
        <v>0</v>
      </c>
      <c r="AR47" s="16">
        <f t="shared" si="7"/>
        <v>0</v>
      </c>
      <c r="AS47" s="17">
        <f t="shared" si="9"/>
        <v>0</v>
      </c>
      <c r="AT47" s="16">
        <f t="shared" si="8"/>
        <v>0</v>
      </c>
    </row>
    <row r="48" spans="1:46" ht="15" customHeight="1" outlineLevel="1">
      <c r="A48" s="15" t="str">
        <f>'Master Data'!A44</f>
        <v>SWG1</v>
      </c>
      <c r="B48" s="15" t="str">
        <f>'Master Data'!B44</f>
        <v>SWG</v>
      </c>
      <c r="C48" s="15" t="str">
        <f>'Master Data'!C44</f>
        <v>SWG1</v>
      </c>
      <c r="D48" s="15" t="str">
        <f>'Master Data'!D44</f>
        <v>SWG</v>
      </c>
      <c r="E48" s="15" t="str">
        <f>'Master Data'!E44</f>
        <v>Rudrapur</v>
      </c>
      <c r="F48" s="15" t="str">
        <f>'Master Data'!F44</f>
        <v>Biscuits</v>
      </c>
      <c r="G48" s="15">
        <f>'Master Data'!G44</f>
        <v>1</v>
      </c>
      <c r="H48" s="15" t="str">
        <f>'Master Data'!H44</f>
        <v>Marie 30 Rs</v>
      </c>
      <c r="I48" s="15">
        <f>'Master Data'!I44</f>
        <v>30</v>
      </c>
      <c r="J48" s="15">
        <f>'Master Data'!J44</f>
        <v>140</v>
      </c>
      <c r="K48" s="15">
        <f>'Master Data'!K44</f>
        <v>40</v>
      </c>
      <c r="L48" s="24">
        <f>'Master Data'!L44</f>
        <v>0</v>
      </c>
      <c r="M48" s="23">
        <f>'Master Data'!M44</f>
        <v>0</v>
      </c>
      <c r="N48" s="23">
        <f>'Master Data'!N44</f>
        <v>0</v>
      </c>
      <c r="O48" s="23">
        <f>'Master Data'!O44</f>
        <v>0</v>
      </c>
      <c r="P48" s="23">
        <f>'Master Data'!P44</f>
        <v>0</v>
      </c>
      <c r="Q48" s="23">
        <f>'Master Data'!Q44</f>
        <v>0</v>
      </c>
      <c r="R48" s="23">
        <f>'Master Data'!R44</f>
        <v>0</v>
      </c>
      <c r="S48" s="23">
        <f>'Master Data'!S44</f>
        <v>0</v>
      </c>
      <c r="T48" s="23">
        <f>'Master Data'!T44</f>
        <v>0</v>
      </c>
      <c r="U48" s="23">
        <f>'Master Data'!U44</f>
        <v>0</v>
      </c>
      <c r="V48" s="23">
        <f>'Master Data'!V44</f>
        <v>0</v>
      </c>
      <c r="W48" s="23">
        <f>'Master Data'!W44</f>
        <v>0</v>
      </c>
      <c r="X48" s="23">
        <f>'Master Data'!X44</f>
        <v>0</v>
      </c>
      <c r="Y48" s="23">
        <f>'Master Data'!Y44</f>
        <v>0</v>
      </c>
      <c r="Z48" s="23">
        <f>'Master Data'!Z44</f>
        <v>0</v>
      </c>
      <c r="AA48" s="23">
        <f>'Master Data'!AA44</f>
        <v>0</v>
      </c>
      <c r="AB48" s="23">
        <f>'Master Data'!AB44</f>
        <v>0</v>
      </c>
      <c r="AC48" s="23">
        <f>'Master Data'!AC44</f>
        <v>0</v>
      </c>
      <c r="AD48" s="23">
        <f>'Master Data'!AD44</f>
        <v>0</v>
      </c>
      <c r="AE48" s="23">
        <f>'Master Data'!AE44</f>
        <v>0</v>
      </c>
      <c r="AF48" s="23">
        <f>'Master Data'!AF44</f>
        <v>0</v>
      </c>
      <c r="AG48" s="23">
        <f>'Master Data'!AG44</f>
        <v>0</v>
      </c>
      <c r="AH48" s="23">
        <f>'Master Data'!AH44</f>
        <v>0</v>
      </c>
      <c r="AI48" s="23">
        <f>'Master Data'!AI44</f>
        <v>0</v>
      </c>
      <c r="AJ48" s="23">
        <f>'Master Data'!AJ44</f>
        <v>0</v>
      </c>
      <c r="AK48" s="23">
        <f>'Master Data'!AK44</f>
        <v>0</v>
      </c>
      <c r="AL48" s="23">
        <f>'Master Data'!AL44</f>
        <v>0</v>
      </c>
      <c r="AM48" s="23">
        <f>'Master Data'!AM44</f>
        <v>0</v>
      </c>
      <c r="AN48" s="23">
        <f>'Master Data'!AN44</f>
        <v>0</v>
      </c>
      <c r="AO48" s="23">
        <f>'Master Data'!AO44</f>
        <v>0</v>
      </c>
      <c r="AP48" s="23">
        <f>'Master Data'!AP44</f>
        <v>0</v>
      </c>
      <c r="AQ48" s="23">
        <f t="shared" si="6"/>
        <v>0</v>
      </c>
      <c r="AR48" s="16">
        <f t="shared" si="7"/>
        <v>0</v>
      </c>
      <c r="AS48" s="17">
        <f t="shared" si="9"/>
        <v>0</v>
      </c>
      <c r="AT48" s="16">
        <f t="shared" si="8"/>
        <v>0</v>
      </c>
    </row>
    <row r="49" spans="1:46" ht="15" customHeight="1">
      <c r="A49" s="69" t="s">
        <v>52</v>
      </c>
      <c r="B49" s="69"/>
      <c r="C49" s="69"/>
      <c r="D49" s="2"/>
      <c r="E49" s="2"/>
      <c r="F49" s="2"/>
      <c r="G49" s="2"/>
      <c r="H49" s="2"/>
      <c r="I49" s="2"/>
      <c r="J49" s="2"/>
      <c r="K49" s="2"/>
      <c r="L49" s="19">
        <f t="shared" ref="L49:AR49" si="10">SUM(L50:L70)</f>
        <v>0</v>
      </c>
      <c r="M49" s="20">
        <f t="shared" si="10"/>
        <v>0</v>
      </c>
      <c r="N49" s="20">
        <f t="shared" si="10"/>
        <v>0</v>
      </c>
      <c r="O49" s="20">
        <f t="shared" si="10"/>
        <v>0</v>
      </c>
      <c r="P49" s="20">
        <f t="shared" si="10"/>
        <v>0</v>
      </c>
      <c r="Q49" s="20">
        <f t="shared" si="10"/>
        <v>0</v>
      </c>
      <c r="R49" s="20">
        <f t="shared" si="10"/>
        <v>0</v>
      </c>
      <c r="S49" s="20">
        <f t="shared" si="10"/>
        <v>0</v>
      </c>
      <c r="T49" s="20">
        <f t="shared" si="10"/>
        <v>0</v>
      </c>
      <c r="U49" s="20">
        <f t="shared" si="10"/>
        <v>0</v>
      </c>
      <c r="V49" s="20">
        <f t="shared" si="10"/>
        <v>0</v>
      </c>
      <c r="W49" s="20">
        <f t="shared" si="10"/>
        <v>0</v>
      </c>
      <c r="X49" s="20">
        <f t="shared" si="10"/>
        <v>0</v>
      </c>
      <c r="Y49" s="20">
        <f t="shared" si="10"/>
        <v>0</v>
      </c>
      <c r="Z49" s="20">
        <f t="shared" si="10"/>
        <v>0</v>
      </c>
      <c r="AA49" s="20">
        <f t="shared" si="10"/>
        <v>0</v>
      </c>
      <c r="AB49" s="20">
        <f t="shared" si="10"/>
        <v>0</v>
      </c>
      <c r="AC49" s="20">
        <f t="shared" si="10"/>
        <v>0</v>
      </c>
      <c r="AD49" s="20">
        <f t="shared" si="10"/>
        <v>0</v>
      </c>
      <c r="AE49" s="20">
        <f t="shared" si="10"/>
        <v>0</v>
      </c>
      <c r="AF49" s="20">
        <f t="shared" si="10"/>
        <v>0</v>
      </c>
      <c r="AG49" s="20">
        <f t="shared" si="10"/>
        <v>0</v>
      </c>
      <c r="AH49" s="20">
        <f t="shared" si="10"/>
        <v>0</v>
      </c>
      <c r="AI49" s="20">
        <f t="shared" si="10"/>
        <v>0</v>
      </c>
      <c r="AJ49" s="20">
        <f t="shared" si="10"/>
        <v>0</v>
      </c>
      <c r="AK49" s="20">
        <f t="shared" si="10"/>
        <v>0</v>
      </c>
      <c r="AL49" s="20">
        <f t="shared" si="10"/>
        <v>0</v>
      </c>
      <c r="AM49" s="20">
        <f t="shared" si="10"/>
        <v>0</v>
      </c>
      <c r="AN49" s="20">
        <f t="shared" si="10"/>
        <v>0</v>
      </c>
      <c r="AO49" s="20">
        <f t="shared" si="10"/>
        <v>0</v>
      </c>
      <c r="AP49" s="20">
        <f t="shared" si="10"/>
        <v>0</v>
      </c>
      <c r="AQ49" s="20">
        <f t="shared" si="10"/>
        <v>0</v>
      </c>
      <c r="AR49" s="21">
        <f t="shared" si="10"/>
        <v>0</v>
      </c>
      <c r="AS49" s="22">
        <f t="shared" si="9"/>
        <v>0</v>
      </c>
      <c r="AT49" s="21">
        <f>SUM(AT50:AT70)</f>
        <v>0</v>
      </c>
    </row>
    <row r="50" spans="1:46" ht="15" customHeight="1" outlineLevel="1">
      <c r="A50" s="15" t="str">
        <f>'Master Data'!A45</f>
        <v>STRAIGHT LINE FOOD PRODUCTS PRIVATE LIMITEDROZ23738</v>
      </c>
      <c r="B50" s="15" t="str">
        <f>'Master Data'!B45</f>
        <v>STR</v>
      </c>
      <c r="C50" s="15" t="str">
        <f>'Master Data'!C45</f>
        <v>STRROZ23738</v>
      </c>
      <c r="D50" s="15" t="str">
        <f>'Master Data'!D45</f>
        <v>STRAIGHT LINE FOOD PRODUCTS PRIVATE LIMITED</v>
      </c>
      <c r="E50" s="15" t="str">
        <f>'Master Data'!E45</f>
        <v>Asansol, West Bengal</v>
      </c>
      <c r="F50" s="15" t="str">
        <f>'Master Data'!F45</f>
        <v>Biscuits</v>
      </c>
      <c r="G50" s="15" t="str">
        <f>'Master Data'!G45</f>
        <v>ROZ23738</v>
      </c>
      <c r="H50" s="15" t="str">
        <f>'Master Data'!H45</f>
        <v>Samuh Beat it Bite it Chocolate Cream Biscuit 35 g</v>
      </c>
      <c r="I50" s="23">
        <f>'Master Data'!I45</f>
        <v>5</v>
      </c>
      <c r="J50" s="23">
        <f>'Master Data'!J45</f>
        <v>35</v>
      </c>
      <c r="K50" s="23">
        <f>'Master Data'!K45</f>
        <v>144</v>
      </c>
      <c r="L50" s="24">
        <f>'Master Data'!L45</f>
        <v>0</v>
      </c>
      <c r="M50" s="23">
        <f>'Master Data'!M45</f>
        <v>0</v>
      </c>
      <c r="N50" s="23">
        <f>'Master Data'!N45</f>
        <v>0</v>
      </c>
      <c r="O50" s="23">
        <f>'Master Data'!O45</f>
        <v>0</v>
      </c>
      <c r="P50" s="23">
        <f>'Master Data'!P45</f>
        <v>0</v>
      </c>
      <c r="Q50" s="23">
        <f>'Master Data'!Q45</f>
        <v>0</v>
      </c>
      <c r="R50" s="23">
        <f>'Master Data'!R45</f>
        <v>0</v>
      </c>
      <c r="S50" s="23">
        <f>'Master Data'!S45</f>
        <v>0</v>
      </c>
      <c r="T50" s="23">
        <f>'Master Data'!T45</f>
        <v>0</v>
      </c>
      <c r="U50" s="23">
        <f>'Master Data'!U45</f>
        <v>0</v>
      </c>
      <c r="V50" s="23">
        <f>'Master Data'!V45</f>
        <v>0</v>
      </c>
      <c r="W50" s="23">
        <f>'Master Data'!W45</f>
        <v>0</v>
      </c>
      <c r="X50" s="23">
        <f>'Master Data'!X45</f>
        <v>0</v>
      </c>
      <c r="Y50" s="23">
        <f>'Master Data'!Y45</f>
        <v>0</v>
      </c>
      <c r="Z50" s="23">
        <f>'Master Data'!Z45</f>
        <v>0</v>
      </c>
      <c r="AA50" s="23">
        <f>'Master Data'!AA45</f>
        <v>0</v>
      </c>
      <c r="AB50" s="23">
        <f>'Master Data'!AB45</f>
        <v>0</v>
      </c>
      <c r="AC50" s="23">
        <f>'Master Data'!AC45</f>
        <v>0</v>
      </c>
      <c r="AD50" s="23">
        <f>'Master Data'!AD45</f>
        <v>0</v>
      </c>
      <c r="AE50" s="23">
        <f>'Master Data'!AE45</f>
        <v>0</v>
      </c>
      <c r="AF50" s="23">
        <f>'Master Data'!AF45</f>
        <v>0</v>
      </c>
      <c r="AG50" s="23">
        <f>'Master Data'!AG45</f>
        <v>0</v>
      </c>
      <c r="AH50" s="23">
        <f>'Master Data'!AH45</f>
        <v>0</v>
      </c>
      <c r="AI50" s="23">
        <f>'Master Data'!AI45</f>
        <v>0</v>
      </c>
      <c r="AJ50" s="23">
        <f>'Master Data'!AJ45</f>
        <v>0</v>
      </c>
      <c r="AK50" s="23">
        <f>'Master Data'!AK45</f>
        <v>0</v>
      </c>
      <c r="AL50" s="23">
        <f>'Master Data'!AL45</f>
        <v>0</v>
      </c>
      <c r="AM50" s="23">
        <f>'Master Data'!AM45</f>
        <v>0</v>
      </c>
      <c r="AN50" s="23">
        <f>'Master Data'!AN45</f>
        <v>0</v>
      </c>
      <c r="AO50" s="23">
        <f>'Master Data'!AO45</f>
        <v>0</v>
      </c>
      <c r="AP50" s="23">
        <f>'Master Data'!AP45</f>
        <v>0</v>
      </c>
      <c r="AQ50" s="23">
        <f t="shared" ref="AQ50:AQ70" si="11">SUM(M50:AP50)</f>
        <v>0</v>
      </c>
      <c r="AR50" s="16">
        <f t="shared" ref="AR50:AR70" si="12">(AQ50*J50*K50)/1000000</f>
        <v>0</v>
      </c>
      <c r="AS50" s="17">
        <f t="shared" si="9"/>
        <v>0</v>
      </c>
      <c r="AT50" s="16">
        <f t="shared" ref="AT50:AT70" si="13">L50-AR50</f>
        <v>0</v>
      </c>
    </row>
    <row r="51" spans="1:46" ht="15" customHeight="1" outlineLevel="1">
      <c r="A51" s="15" t="str">
        <f>'Master Data'!A46</f>
        <v>STRAIGHT LINE FOOD PRODUCTS PRIVATE LIMITEDROZ23739</v>
      </c>
      <c r="B51" s="15" t="str">
        <f>'Master Data'!B46</f>
        <v>STR</v>
      </c>
      <c r="C51" s="15" t="str">
        <f>'Master Data'!C46</f>
        <v>STRROZ23739</v>
      </c>
      <c r="D51" s="15" t="str">
        <f>'Master Data'!D46</f>
        <v>STRAIGHT LINE FOOD PRODUCTS PRIVATE LIMITED</v>
      </c>
      <c r="E51" s="15" t="str">
        <f>'Master Data'!E46</f>
        <v>Asansol, West Bengal</v>
      </c>
      <c r="F51" s="15" t="str">
        <f>'Master Data'!F46</f>
        <v>Biscuits</v>
      </c>
      <c r="G51" s="15" t="str">
        <f>'Master Data'!G46</f>
        <v>ROZ23739</v>
      </c>
      <c r="H51" s="15" t="str">
        <f>'Master Data'!H46</f>
        <v>Samuh Beat it! Bite it! Orange Cream Biscuit 35 g</v>
      </c>
      <c r="I51" s="23">
        <f>'Master Data'!I46</f>
        <v>5</v>
      </c>
      <c r="J51" s="23">
        <f>'Master Data'!J46</f>
        <v>35</v>
      </c>
      <c r="K51" s="23">
        <f>'Master Data'!K46</f>
        <v>144</v>
      </c>
      <c r="L51" s="24">
        <f>'Master Data'!L46</f>
        <v>0</v>
      </c>
      <c r="M51" s="23">
        <f>'Master Data'!M46</f>
        <v>0</v>
      </c>
      <c r="N51" s="23">
        <f>'Master Data'!N46</f>
        <v>0</v>
      </c>
      <c r="O51" s="23">
        <f>'Master Data'!O46</f>
        <v>0</v>
      </c>
      <c r="P51" s="23">
        <f>'Master Data'!P46</f>
        <v>0</v>
      </c>
      <c r="Q51" s="23">
        <f>'Master Data'!Q46</f>
        <v>0</v>
      </c>
      <c r="R51" s="23">
        <f>'Master Data'!R46</f>
        <v>0</v>
      </c>
      <c r="S51" s="23">
        <f>'Master Data'!S46</f>
        <v>0</v>
      </c>
      <c r="T51" s="23">
        <f>'Master Data'!T46</f>
        <v>0</v>
      </c>
      <c r="U51" s="23">
        <f>'Master Data'!U46</f>
        <v>0</v>
      </c>
      <c r="V51" s="23">
        <f>'Master Data'!V46</f>
        <v>0</v>
      </c>
      <c r="W51" s="23">
        <f>'Master Data'!W46</f>
        <v>0</v>
      </c>
      <c r="X51" s="23">
        <f>'Master Data'!X46</f>
        <v>0</v>
      </c>
      <c r="Y51" s="23">
        <f>'Master Data'!Y46</f>
        <v>0</v>
      </c>
      <c r="Z51" s="23">
        <f>'Master Data'!Z46</f>
        <v>0</v>
      </c>
      <c r="AA51" s="23">
        <f>'Master Data'!AA46</f>
        <v>0</v>
      </c>
      <c r="AB51" s="23">
        <f>'Master Data'!AB46</f>
        <v>0</v>
      </c>
      <c r="AC51" s="23">
        <f>'Master Data'!AC46</f>
        <v>0</v>
      </c>
      <c r="AD51" s="23">
        <f>'Master Data'!AD46</f>
        <v>0</v>
      </c>
      <c r="AE51" s="23">
        <f>'Master Data'!AE46</f>
        <v>0</v>
      </c>
      <c r="AF51" s="23">
        <f>'Master Data'!AF46</f>
        <v>0</v>
      </c>
      <c r="AG51" s="23">
        <f>'Master Data'!AG46</f>
        <v>0</v>
      </c>
      <c r="AH51" s="23">
        <f>'Master Data'!AH46</f>
        <v>0</v>
      </c>
      <c r="AI51" s="23">
        <f>'Master Data'!AI46</f>
        <v>0</v>
      </c>
      <c r="AJ51" s="23">
        <f>'Master Data'!AJ46</f>
        <v>0</v>
      </c>
      <c r="AK51" s="23">
        <f>'Master Data'!AK46</f>
        <v>0</v>
      </c>
      <c r="AL51" s="23">
        <f>'Master Data'!AL46</f>
        <v>0</v>
      </c>
      <c r="AM51" s="23">
        <f>'Master Data'!AM46</f>
        <v>0</v>
      </c>
      <c r="AN51" s="23">
        <f>'Master Data'!AN46</f>
        <v>0</v>
      </c>
      <c r="AO51" s="23">
        <f>'Master Data'!AO46</f>
        <v>0</v>
      </c>
      <c r="AP51" s="23">
        <f>'Master Data'!AP46</f>
        <v>0</v>
      </c>
      <c r="AQ51" s="23">
        <f t="shared" si="11"/>
        <v>0</v>
      </c>
      <c r="AR51" s="16">
        <f t="shared" si="12"/>
        <v>0</v>
      </c>
      <c r="AS51" s="17">
        <f t="shared" si="9"/>
        <v>0</v>
      </c>
      <c r="AT51" s="16">
        <f t="shared" si="13"/>
        <v>0</v>
      </c>
    </row>
    <row r="52" spans="1:46" ht="15" customHeight="1" outlineLevel="1">
      <c r="A52" s="15" t="str">
        <f>'Master Data'!A47</f>
        <v>STRAIGHT LINE FOOD PRODUCTS PRIVATE LIMITEDROZ23741</v>
      </c>
      <c r="B52" s="15" t="str">
        <f>'Master Data'!B47</f>
        <v>STR</v>
      </c>
      <c r="C52" s="15" t="str">
        <f>'Master Data'!C47</f>
        <v>STRROZ23741</v>
      </c>
      <c r="D52" s="15" t="str">
        <f>'Master Data'!D47</f>
        <v>STRAIGHT LINE FOOD PRODUCTS PRIVATE LIMITED</v>
      </c>
      <c r="E52" s="15" t="str">
        <f>'Master Data'!E47</f>
        <v>Asansol, West Bengal</v>
      </c>
      <c r="F52" s="15" t="str">
        <f>'Master Data'!F47</f>
        <v>Biscuits</v>
      </c>
      <c r="G52" s="15" t="str">
        <f>'Master Data'!G47</f>
        <v>ROZ23741</v>
      </c>
      <c r="H52" s="15" t="str">
        <f>'Master Data'!H47</f>
        <v>Samuh Coconut Cookies Biscuit 35 g</v>
      </c>
      <c r="I52" s="23">
        <f>'Master Data'!I47</f>
        <v>5</v>
      </c>
      <c r="J52" s="23">
        <f>'Master Data'!J47</f>
        <v>35</v>
      </c>
      <c r="K52" s="23">
        <f>'Master Data'!K47</f>
        <v>144</v>
      </c>
      <c r="L52" s="24">
        <f>'Master Data'!L47</f>
        <v>0</v>
      </c>
      <c r="M52" s="23">
        <f>'Master Data'!M47</f>
        <v>0</v>
      </c>
      <c r="N52" s="23">
        <f>'Master Data'!N47</f>
        <v>0</v>
      </c>
      <c r="O52" s="23">
        <f>'Master Data'!O47</f>
        <v>0</v>
      </c>
      <c r="P52" s="23">
        <f>'Master Data'!P47</f>
        <v>0</v>
      </c>
      <c r="Q52" s="23">
        <f>'Master Data'!Q47</f>
        <v>0</v>
      </c>
      <c r="R52" s="23">
        <f>'Master Data'!R47</f>
        <v>0</v>
      </c>
      <c r="S52" s="23">
        <f>'Master Data'!S47</f>
        <v>0</v>
      </c>
      <c r="T52" s="23">
        <f>'Master Data'!T47</f>
        <v>0</v>
      </c>
      <c r="U52" s="23">
        <f>'Master Data'!U47</f>
        <v>0</v>
      </c>
      <c r="V52" s="23">
        <f>'Master Data'!V47</f>
        <v>0</v>
      </c>
      <c r="W52" s="23">
        <f>'Master Data'!W47</f>
        <v>0</v>
      </c>
      <c r="X52" s="23">
        <f>'Master Data'!X47</f>
        <v>0</v>
      </c>
      <c r="Y52" s="23">
        <f>'Master Data'!Y47</f>
        <v>0</v>
      </c>
      <c r="Z52" s="23">
        <f>'Master Data'!Z47</f>
        <v>0</v>
      </c>
      <c r="AA52" s="23">
        <f>'Master Data'!AA47</f>
        <v>0</v>
      </c>
      <c r="AB52" s="23">
        <f>'Master Data'!AB47</f>
        <v>0</v>
      </c>
      <c r="AC52" s="23">
        <f>'Master Data'!AC47</f>
        <v>0</v>
      </c>
      <c r="AD52" s="23">
        <f>'Master Data'!AD47</f>
        <v>0</v>
      </c>
      <c r="AE52" s="23">
        <f>'Master Data'!AE47</f>
        <v>0</v>
      </c>
      <c r="AF52" s="23">
        <f>'Master Data'!AF47</f>
        <v>0</v>
      </c>
      <c r="AG52" s="23">
        <f>'Master Data'!AG47</f>
        <v>0</v>
      </c>
      <c r="AH52" s="23">
        <f>'Master Data'!AH47</f>
        <v>0</v>
      </c>
      <c r="AI52" s="23">
        <f>'Master Data'!AI47</f>
        <v>0</v>
      </c>
      <c r="AJ52" s="23">
        <f>'Master Data'!AJ47</f>
        <v>0</v>
      </c>
      <c r="AK52" s="23">
        <f>'Master Data'!AK47</f>
        <v>0</v>
      </c>
      <c r="AL52" s="23">
        <f>'Master Data'!AL47</f>
        <v>0</v>
      </c>
      <c r="AM52" s="23">
        <f>'Master Data'!AM47</f>
        <v>0</v>
      </c>
      <c r="AN52" s="23">
        <f>'Master Data'!AN47</f>
        <v>0</v>
      </c>
      <c r="AO52" s="23">
        <f>'Master Data'!AO47</f>
        <v>0</v>
      </c>
      <c r="AP52" s="23">
        <f>'Master Data'!AP47</f>
        <v>0</v>
      </c>
      <c r="AQ52" s="23">
        <f t="shared" si="11"/>
        <v>0</v>
      </c>
      <c r="AR52" s="16">
        <f t="shared" si="12"/>
        <v>0</v>
      </c>
      <c r="AS52" s="17">
        <f t="shared" si="9"/>
        <v>0</v>
      </c>
      <c r="AT52" s="16">
        <f t="shared" si="13"/>
        <v>0</v>
      </c>
    </row>
    <row r="53" spans="1:46" ht="15" customHeight="1" outlineLevel="1">
      <c r="A53" s="15" t="str">
        <f>'Master Data'!A48</f>
        <v>STRAIGHT LINE FOOD PRODUCTS PRIVATE LIMITEDROZ36954</v>
      </c>
      <c r="B53" s="15" t="str">
        <f>'Master Data'!B48</f>
        <v>STR</v>
      </c>
      <c r="C53" s="15" t="str">
        <f>'Master Data'!C48</f>
        <v>STRROZ36954</v>
      </c>
      <c r="D53" s="15" t="str">
        <f>'Master Data'!D48</f>
        <v>STRAIGHT LINE FOOD PRODUCTS PRIVATE LIMITED</v>
      </c>
      <c r="E53" s="15" t="str">
        <f>'Master Data'!E48</f>
        <v>Asansol, West Bengal</v>
      </c>
      <c r="F53" s="15" t="str">
        <f>'Master Data'!F48</f>
        <v>Biscuits</v>
      </c>
      <c r="G53" s="15" t="str">
        <f>'Master Data'!G48</f>
        <v>ROZ36954</v>
      </c>
      <c r="H53" s="15" t="str">
        <f>'Master Data'!H48</f>
        <v>Samuh Butter Cashew 30 g</v>
      </c>
      <c r="I53" s="23">
        <f>'Master Data'!I48</f>
        <v>5</v>
      </c>
      <c r="J53" s="23">
        <f>'Master Data'!J48</f>
        <v>30</v>
      </c>
      <c r="K53" s="23">
        <f>'Master Data'!K48</f>
        <v>144</v>
      </c>
      <c r="L53" s="24">
        <f>'Master Data'!L48</f>
        <v>0</v>
      </c>
      <c r="M53" s="23">
        <f>'Master Data'!M48</f>
        <v>0</v>
      </c>
      <c r="N53" s="23">
        <f>'Master Data'!N48</f>
        <v>0</v>
      </c>
      <c r="O53" s="23">
        <f>'Master Data'!O48</f>
        <v>0</v>
      </c>
      <c r="P53" s="23">
        <f>'Master Data'!P48</f>
        <v>0</v>
      </c>
      <c r="Q53" s="23">
        <f>'Master Data'!Q48</f>
        <v>0</v>
      </c>
      <c r="R53" s="23">
        <f>'Master Data'!R48</f>
        <v>0</v>
      </c>
      <c r="S53" s="23">
        <f>'Master Data'!S48</f>
        <v>0</v>
      </c>
      <c r="T53" s="23">
        <f>'Master Data'!T48</f>
        <v>0</v>
      </c>
      <c r="U53" s="23">
        <f>'Master Data'!U48</f>
        <v>0</v>
      </c>
      <c r="V53" s="23">
        <f>'Master Data'!V48</f>
        <v>0</v>
      </c>
      <c r="W53" s="23">
        <f>'Master Data'!W48</f>
        <v>0</v>
      </c>
      <c r="X53" s="23">
        <f>'Master Data'!X48</f>
        <v>0</v>
      </c>
      <c r="Y53" s="23">
        <f>'Master Data'!Y48</f>
        <v>0</v>
      </c>
      <c r="Z53" s="23">
        <f>'Master Data'!Z48</f>
        <v>0</v>
      </c>
      <c r="AA53" s="23">
        <f>'Master Data'!AA48</f>
        <v>0</v>
      </c>
      <c r="AB53" s="23">
        <f>'Master Data'!AB48</f>
        <v>0</v>
      </c>
      <c r="AC53" s="23">
        <f>'Master Data'!AC48</f>
        <v>0</v>
      </c>
      <c r="AD53" s="23">
        <f>'Master Data'!AD48</f>
        <v>0</v>
      </c>
      <c r="AE53" s="23">
        <f>'Master Data'!AE48</f>
        <v>0</v>
      </c>
      <c r="AF53" s="23">
        <f>'Master Data'!AF48</f>
        <v>0</v>
      </c>
      <c r="AG53" s="23">
        <f>'Master Data'!AG48</f>
        <v>0</v>
      </c>
      <c r="AH53" s="23">
        <f>'Master Data'!AH48</f>
        <v>0</v>
      </c>
      <c r="AI53" s="23">
        <f>'Master Data'!AI48</f>
        <v>0</v>
      </c>
      <c r="AJ53" s="23">
        <f>'Master Data'!AJ48</f>
        <v>0</v>
      </c>
      <c r="AK53" s="23">
        <f>'Master Data'!AK48</f>
        <v>0</v>
      </c>
      <c r="AL53" s="23">
        <f>'Master Data'!AL48</f>
        <v>0</v>
      </c>
      <c r="AM53" s="23">
        <f>'Master Data'!AM48</f>
        <v>0</v>
      </c>
      <c r="AN53" s="23">
        <f>'Master Data'!AN48</f>
        <v>0</v>
      </c>
      <c r="AO53" s="23">
        <f>'Master Data'!AO48</f>
        <v>0</v>
      </c>
      <c r="AP53" s="23">
        <f>'Master Data'!AP48</f>
        <v>0</v>
      </c>
      <c r="AQ53" s="23">
        <f t="shared" si="11"/>
        <v>0</v>
      </c>
      <c r="AR53" s="16">
        <f t="shared" si="12"/>
        <v>0</v>
      </c>
      <c r="AS53" s="17">
        <f t="shared" si="9"/>
        <v>0</v>
      </c>
      <c r="AT53" s="16">
        <f t="shared" si="13"/>
        <v>0</v>
      </c>
    </row>
    <row r="54" spans="1:46" ht="15" customHeight="1" outlineLevel="1">
      <c r="A54" s="15" t="str">
        <f>'Master Data'!A49</f>
        <v>STRAIGHT LINE FOOD PRODUCTS PRIVATE LIMITEDROZ23743</v>
      </c>
      <c r="B54" s="15" t="str">
        <f>'Master Data'!B49</f>
        <v>STR</v>
      </c>
      <c r="C54" s="15" t="str">
        <f>'Master Data'!C49</f>
        <v>STRROZ23743</v>
      </c>
      <c r="D54" s="15" t="str">
        <f>'Master Data'!D49</f>
        <v>STRAIGHT LINE FOOD PRODUCTS PRIVATE LIMITED</v>
      </c>
      <c r="E54" s="15" t="str">
        <f>'Master Data'!E49</f>
        <v>Asansol, West Bengal</v>
      </c>
      <c r="F54" s="15" t="str">
        <f>'Master Data'!F49</f>
        <v>Biscuits</v>
      </c>
      <c r="G54" s="15" t="str">
        <f>'Master Data'!G49</f>
        <v>ROZ23743</v>
      </c>
      <c r="H54" s="15" t="str">
        <f>'Master Data'!H49</f>
        <v>Samuh Butter Cookies Biscuit 32 g</v>
      </c>
      <c r="I54" s="23">
        <f>'Master Data'!I49</f>
        <v>5</v>
      </c>
      <c r="J54" s="23">
        <f>'Master Data'!J49</f>
        <v>32</v>
      </c>
      <c r="K54" s="23">
        <f>'Master Data'!K49</f>
        <v>144</v>
      </c>
      <c r="L54" s="24">
        <f>'Master Data'!L49</f>
        <v>0</v>
      </c>
      <c r="M54" s="23">
        <f>'Master Data'!M49</f>
        <v>0</v>
      </c>
      <c r="N54" s="23">
        <f>'Master Data'!N49</f>
        <v>0</v>
      </c>
      <c r="O54" s="23">
        <f>'Master Data'!O49</f>
        <v>0</v>
      </c>
      <c r="P54" s="23">
        <f>'Master Data'!P49</f>
        <v>0</v>
      </c>
      <c r="Q54" s="23">
        <f>'Master Data'!Q49</f>
        <v>0</v>
      </c>
      <c r="R54" s="23">
        <f>'Master Data'!R49</f>
        <v>0</v>
      </c>
      <c r="S54" s="23">
        <f>'Master Data'!S49</f>
        <v>0</v>
      </c>
      <c r="T54" s="23">
        <f>'Master Data'!T49</f>
        <v>0</v>
      </c>
      <c r="U54" s="23">
        <f>'Master Data'!U49</f>
        <v>0</v>
      </c>
      <c r="V54" s="23">
        <f>'Master Data'!V49</f>
        <v>0</v>
      </c>
      <c r="W54" s="23">
        <f>'Master Data'!W49</f>
        <v>0</v>
      </c>
      <c r="X54" s="23">
        <f>'Master Data'!X49</f>
        <v>0</v>
      </c>
      <c r="Y54" s="23">
        <f>'Master Data'!Y49</f>
        <v>0</v>
      </c>
      <c r="Z54" s="23">
        <f>'Master Data'!Z49</f>
        <v>0</v>
      </c>
      <c r="AA54" s="23">
        <f>'Master Data'!AA49</f>
        <v>0</v>
      </c>
      <c r="AB54" s="23">
        <f>'Master Data'!AB49</f>
        <v>0</v>
      </c>
      <c r="AC54" s="23">
        <f>'Master Data'!AC49</f>
        <v>0</v>
      </c>
      <c r="AD54" s="23">
        <f>'Master Data'!AD49</f>
        <v>0</v>
      </c>
      <c r="AE54" s="23">
        <f>'Master Data'!AE49</f>
        <v>0</v>
      </c>
      <c r="AF54" s="23">
        <f>'Master Data'!AF49</f>
        <v>0</v>
      </c>
      <c r="AG54" s="23">
        <f>'Master Data'!AG49</f>
        <v>0</v>
      </c>
      <c r="AH54" s="23">
        <f>'Master Data'!AH49</f>
        <v>0</v>
      </c>
      <c r="AI54" s="23">
        <f>'Master Data'!AI49</f>
        <v>0</v>
      </c>
      <c r="AJ54" s="23">
        <f>'Master Data'!AJ49</f>
        <v>0</v>
      </c>
      <c r="AK54" s="23">
        <f>'Master Data'!AK49</f>
        <v>0</v>
      </c>
      <c r="AL54" s="23">
        <f>'Master Data'!AL49</f>
        <v>0</v>
      </c>
      <c r="AM54" s="23">
        <f>'Master Data'!AM49</f>
        <v>0</v>
      </c>
      <c r="AN54" s="23">
        <f>'Master Data'!AN49</f>
        <v>0</v>
      </c>
      <c r="AO54" s="23">
        <f>'Master Data'!AO49</f>
        <v>0</v>
      </c>
      <c r="AP54" s="23">
        <f>'Master Data'!AP49</f>
        <v>0</v>
      </c>
      <c r="AQ54" s="23">
        <f t="shared" si="11"/>
        <v>0</v>
      </c>
      <c r="AR54" s="16">
        <f t="shared" si="12"/>
        <v>0</v>
      </c>
      <c r="AS54" s="17">
        <f t="shared" si="9"/>
        <v>0</v>
      </c>
      <c r="AT54" s="16">
        <f t="shared" si="13"/>
        <v>0</v>
      </c>
    </row>
    <row r="55" spans="1:46" ht="15" customHeight="1" outlineLevel="1">
      <c r="A55" s="15" t="str">
        <f>'Master Data'!A50</f>
        <v>STRAIGHT LINE FOOD PRODUCTS PRIVATE LIMITEDROZ36962</v>
      </c>
      <c r="B55" s="15" t="str">
        <f>'Master Data'!B50</f>
        <v>STR</v>
      </c>
      <c r="C55" s="15" t="str">
        <f>'Master Data'!C50</f>
        <v>STRROZ36962</v>
      </c>
      <c r="D55" s="15" t="str">
        <f>'Master Data'!D50</f>
        <v>STRAIGHT LINE FOOD PRODUCTS PRIVATE LIMITED</v>
      </c>
      <c r="E55" s="15" t="str">
        <f>'Master Data'!E50</f>
        <v>Asansol, West Bengal</v>
      </c>
      <c r="F55" s="15" t="str">
        <f>'Master Data'!F50</f>
        <v>Biscuits</v>
      </c>
      <c r="G55" s="15" t="str">
        <f>'Master Data'!G50</f>
        <v>ROZ36962</v>
      </c>
      <c r="H55" s="15" t="str">
        <f>'Master Data'!H50</f>
        <v>Samuh Marie Biscuit 75g</v>
      </c>
      <c r="I55" s="23">
        <f>'Master Data'!I50</f>
        <v>10</v>
      </c>
      <c r="J55" s="23">
        <f>'Master Data'!J50</f>
        <v>75</v>
      </c>
      <c r="K55" s="23">
        <f>'Master Data'!K50</f>
        <v>72</v>
      </c>
      <c r="L55" s="24">
        <f>'Master Data'!L50</f>
        <v>0</v>
      </c>
      <c r="M55" s="23">
        <f>'Master Data'!M50</f>
        <v>0</v>
      </c>
      <c r="N55" s="23">
        <f>'Master Data'!N50</f>
        <v>0</v>
      </c>
      <c r="O55" s="23">
        <f>'Master Data'!O50</f>
        <v>0</v>
      </c>
      <c r="P55" s="23">
        <f>'Master Data'!P50</f>
        <v>0</v>
      </c>
      <c r="Q55" s="23">
        <f>'Master Data'!Q50</f>
        <v>0</v>
      </c>
      <c r="R55" s="23">
        <f>'Master Data'!R50</f>
        <v>0</v>
      </c>
      <c r="S55" s="23">
        <f>'Master Data'!S50</f>
        <v>0</v>
      </c>
      <c r="T55" s="23">
        <f>'Master Data'!T50</f>
        <v>0</v>
      </c>
      <c r="U55" s="23">
        <f>'Master Data'!U50</f>
        <v>0</v>
      </c>
      <c r="V55" s="23">
        <f>'Master Data'!V50</f>
        <v>0</v>
      </c>
      <c r="W55" s="23">
        <f>'Master Data'!W50</f>
        <v>0</v>
      </c>
      <c r="X55" s="23">
        <f>'Master Data'!X50</f>
        <v>0</v>
      </c>
      <c r="Y55" s="23">
        <f>'Master Data'!Y50</f>
        <v>0</v>
      </c>
      <c r="Z55" s="23">
        <f>'Master Data'!Z50</f>
        <v>0</v>
      </c>
      <c r="AA55" s="23">
        <f>'Master Data'!AA50</f>
        <v>0</v>
      </c>
      <c r="AB55" s="23">
        <f>'Master Data'!AB50</f>
        <v>0</v>
      </c>
      <c r="AC55" s="23">
        <f>'Master Data'!AC50</f>
        <v>0</v>
      </c>
      <c r="AD55" s="23">
        <f>'Master Data'!AD50</f>
        <v>0</v>
      </c>
      <c r="AE55" s="23">
        <f>'Master Data'!AE50</f>
        <v>0</v>
      </c>
      <c r="AF55" s="23">
        <f>'Master Data'!AF50</f>
        <v>0</v>
      </c>
      <c r="AG55" s="23">
        <f>'Master Data'!AG50</f>
        <v>0</v>
      </c>
      <c r="AH55" s="23">
        <f>'Master Data'!AH50</f>
        <v>0</v>
      </c>
      <c r="AI55" s="23">
        <f>'Master Data'!AI50</f>
        <v>0</v>
      </c>
      <c r="AJ55" s="23">
        <f>'Master Data'!AJ50</f>
        <v>0</v>
      </c>
      <c r="AK55" s="23">
        <f>'Master Data'!AK50</f>
        <v>0</v>
      </c>
      <c r="AL55" s="23">
        <f>'Master Data'!AL50</f>
        <v>0</v>
      </c>
      <c r="AM55" s="23">
        <f>'Master Data'!AM50</f>
        <v>0</v>
      </c>
      <c r="AN55" s="23">
        <f>'Master Data'!AN50</f>
        <v>0</v>
      </c>
      <c r="AO55" s="23">
        <f>'Master Data'!AO50</f>
        <v>0</v>
      </c>
      <c r="AP55" s="23">
        <f>'Master Data'!AP50</f>
        <v>0</v>
      </c>
      <c r="AQ55" s="23">
        <f t="shared" si="11"/>
        <v>0</v>
      </c>
      <c r="AR55" s="16">
        <f t="shared" si="12"/>
        <v>0</v>
      </c>
      <c r="AS55" s="17">
        <f t="shared" si="9"/>
        <v>0</v>
      </c>
      <c r="AT55" s="16">
        <f t="shared" si="13"/>
        <v>0</v>
      </c>
    </row>
    <row r="56" spans="1:46" ht="15" customHeight="1" outlineLevel="1">
      <c r="A56" s="15" t="str">
        <f>'Master Data'!A51</f>
        <v>STRAIGHT LINE FOOD PRODUCTS PRIVATE LIMITEDROZ36955</v>
      </c>
      <c r="B56" s="15" t="str">
        <f>'Master Data'!B51</f>
        <v>STR</v>
      </c>
      <c r="C56" s="15" t="str">
        <f>'Master Data'!C51</f>
        <v>STRROZ36955</v>
      </c>
      <c r="D56" s="15" t="str">
        <f>'Master Data'!D51</f>
        <v>STRAIGHT LINE FOOD PRODUCTS PRIVATE LIMITED</v>
      </c>
      <c r="E56" s="15" t="str">
        <f>'Master Data'!E51</f>
        <v>Asansol, West Bengal</v>
      </c>
      <c r="F56" s="15" t="str">
        <f>'Master Data'!F51</f>
        <v>Biscuits</v>
      </c>
      <c r="G56" s="15" t="str">
        <f>'Master Data'!G51</f>
        <v>ROZ36955</v>
      </c>
      <c r="H56" s="15" t="str">
        <f>'Master Data'!H51</f>
        <v>Samuh Beat it Bite it Chocolate Cream Biscuit 70 g</v>
      </c>
      <c r="I56" s="23">
        <f>'Master Data'!I51</f>
        <v>10</v>
      </c>
      <c r="J56" s="23">
        <f>'Master Data'!J51</f>
        <v>70</v>
      </c>
      <c r="K56" s="23">
        <f>'Master Data'!K51</f>
        <v>60</v>
      </c>
      <c r="L56" s="24">
        <f>'Master Data'!L51</f>
        <v>0</v>
      </c>
      <c r="M56" s="23">
        <f>'Master Data'!M51</f>
        <v>0</v>
      </c>
      <c r="N56" s="23">
        <f>'Master Data'!N51</f>
        <v>0</v>
      </c>
      <c r="O56" s="23">
        <f>'Master Data'!O51</f>
        <v>0</v>
      </c>
      <c r="P56" s="23">
        <f>'Master Data'!P51</f>
        <v>0</v>
      </c>
      <c r="Q56" s="23">
        <f>'Master Data'!Q51</f>
        <v>0</v>
      </c>
      <c r="R56" s="23">
        <f>'Master Data'!R51</f>
        <v>0</v>
      </c>
      <c r="S56" s="23">
        <f>'Master Data'!S51</f>
        <v>0</v>
      </c>
      <c r="T56" s="23">
        <f>'Master Data'!T51</f>
        <v>0</v>
      </c>
      <c r="U56" s="23">
        <f>'Master Data'!U51</f>
        <v>0</v>
      </c>
      <c r="V56" s="23">
        <f>'Master Data'!V51</f>
        <v>0</v>
      </c>
      <c r="W56" s="23">
        <f>'Master Data'!W51</f>
        <v>0</v>
      </c>
      <c r="X56" s="23">
        <f>'Master Data'!X51</f>
        <v>0</v>
      </c>
      <c r="Y56" s="23">
        <f>'Master Data'!Y51</f>
        <v>0</v>
      </c>
      <c r="Z56" s="23">
        <f>'Master Data'!Z51</f>
        <v>0</v>
      </c>
      <c r="AA56" s="23">
        <f>'Master Data'!AA51</f>
        <v>0</v>
      </c>
      <c r="AB56" s="23">
        <f>'Master Data'!AB51</f>
        <v>0</v>
      </c>
      <c r="AC56" s="23">
        <f>'Master Data'!AC51</f>
        <v>0</v>
      </c>
      <c r="AD56" s="23">
        <f>'Master Data'!AD51</f>
        <v>0</v>
      </c>
      <c r="AE56" s="23">
        <f>'Master Data'!AE51</f>
        <v>0</v>
      </c>
      <c r="AF56" s="23">
        <f>'Master Data'!AF51</f>
        <v>0</v>
      </c>
      <c r="AG56" s="23">
        <f>'Master Data'!AG51</f>
        <v>0</v>
      </c>
      <c r="AH56" s="23">
        <f>'Master Data'!AH51</f>
        <v>0</v>
      </c>
      <c r="AI56" s="23">
        <f>'Master Data'!AI51</f>
        <v>0</v>
      </c>
      <c r="AJ56" s="23">
        <f>'Master Data'!AJ51</f>
        <v>0</v>
      </c>
      <c r="AK56" s="23">
        <f>'Master Data'!AK51</f>
        <v>0</v>
      </c>
      <c r="AL56" s="23">
        <f>'Master Data'!AL51</f>
        <v>0</v>
      </c>
      <c r="AM56" s="23">
        <f>'Master Data'!AM51</f>
        <v>0</v>
      </c>
      <c r="AN56" s="23">
        <f>'Master Data'!AN51</f>
        <v>0</v>
      </c>
      <c r="AO56" s="23">
        <f>'Master Data'!AO51</f>
        <v>0</v>
      </c>
      <c r="AP56" s="23">
        <f>'Master Data'!AP51</f>
        <v>0</v>
      </c>
      <c r="AQ56" s="23">
        <f t="shared" si="11"/>
        <v>0</v>
      </c>
      <c r="AR56" s="16">
        <f t="shared" si="12"/>
        <v>0</v>
      </c>
      <c r="AS56" s="17">
        <f t="shared" si="9"/>
        <v>0</v>
      </c>
      <c r="AT56" s="16">
        <f t="shared" si="13"/>
        <v>0</v>
      </c>
    </row>
    <row r="57" spans="1:46" ht="15" customHeight="1" outlineLevel="1">
      <c r="A57" s="15" t="str">
        <f>'Master Data'!A52</f>
        <v>STRAIGHT LINE FOOD PRODUCTS PRIVATE LIMITEDROZ36957</v>
      </c>
      <c r="B57" s="15" t="str">
        <f>'Master Data'!B52</f>
        <v>STR</v>
      </c>
      <c r="C57" s="15" t="str">
        <f>'Master Data'!C52</f>
        <v>STRROZ36957</v>
      </c>
      <c r="D57" s="15" t="str">
        <f>'Master Data'!D52</f>
        <v>STRAIGHT LINE FOOD PRODUCTS PRIVATE LIMITED</v>
      </c>
      <c r="E57" s="15" t="str">
        <f>'Master Data'!E52</f>
        <v>Asansol, West Bengal</v>
      </c>
      <c r="F57" s="15" t="str">
        <f>'Master Data'!F52</f>
        <v>Biscuits</v>
      </c>
      <c r="G57" s="15" t="str">
        <f>'Master Data'!G52</f>
        <v>ROZ36957</v>
      </c>
      <c r="H57" s="15" t="str">
        <f>'Master Data'!H52</f>
        <v>Samuh Coconut Cookies Biscuit 70g</v>
      </c>
      <c r="I57" s="23">
        <f>'Master Data'!I52</f>
        <v>10</v>
      </c>
      <c r="J57" s="23">
        <f>'Master Data'!J52</f>
        <v>70</v>
      </c>
      <c r="K57" s="23">
        <f>'Master Data'!K52</f>
        <v>60</v>
      </c>
      <c r="L57" s="24">
        <f>'Master Data'!L52</f>
        <v>0</v>
      </c>
      <c r="M57" s="23">
        <f>'Master Data'!M52</f>
        <v>0</v>
      </c>
      <c r="N57" s="23">
        <f>'Master Data'!N52</f>
        <v>0</v>
      </c>
      <c r="O57" s="23">
        <f>'Master Data'!O52</f>
        <v>0</v>
      </c>
      <c r="P57" s="23">
        <f>'Master Data'!P52</f>
        <v>0</v>
      </c>
      <c r="Q57" s="23">
        <f>'Master Data'!Q52</f>
        <v>0</v>
      </c>
      <c r="R57" s="23">
        <f>'Master Data'!R52</f>
        <v>0</v>
      </c>
      <c r="S57" s="23">
        <f>'Master Data'!S52</f>
        <v>0</v>
      </c>
      <c r="T57" s="23">
        <f>'Master Data'!T52</f>
        <v>0</v>
      </c>
      <c r="U57" s="23">
        <f>'Master Data'!U52</f>
        <v>0</v>
      </c>
      <c r="V57" s="23">
        <f>'Master Data'!V52</f>
        <v>0</v>
      </c>
      <c r="W57" s="23">
        <f>'Master Data'!W52</f>
        <v>0</v>
      </c>
      <c r="X57" s="23">
        <f>'Master Data'!X52</f>
        <v>0</v>
      </c>
      <c r="Y57" s="23">
        <f>'Master Data'!Y52</f>
        <v>0</v>
      </c>
      <c r="Z57" s="23">
        <f>'Master Data'!Z52</f>
        <v>0</v>
      </c>
      <c r="AA57" s="23">
        <f>'Master Data'!AA52</f>
        <v>0</v>
      </c>
      <c r="AB57" s="23">
        <f>'Master Data'!AB52</f>
        <v>0</v>
      </c>
      <c r="AC57" s="23">
        <f>'Master Data'!AC52</f>
        <v>0</v>
      </c>
      <c r="AD57" s="23">
        <f>'Master Data'!AD52</f>
        <v>0</v>
      </c>
      <c r="AE57" s="23">
        <f>'Master Data'!AE52</f>
        <v>0</v>
      </c>
      <c r="AF57" s="23">
        <f>'Master Data'!AF52</f>
        <v>0</v>
      </c>
      <c r="AG57" s="23">
        <f>'Master Data'!AG52</f>
        <v>0</v>
      </c>
      <c r="AH57" s="23">
        <f>'Master Data'!AH52</f>
        <v>0</v>
      </c>
      <c r="AI57" s="23">
        <f>'Master Data'!AI52</f>
        <v>0</v>
      </c>
      <c r="AJ57" s="23">
        <f>'Master Data'!AJ52</f>
        <v>0</v>
      </c>
      <c r="AK57" s="23">
        <f>'Master Data'!AK52</f>
        <v>0</v>
      </c>
      <c r="AL57" s="23">
        <f>'Master Data'!AL52</f>
        <v>0</v>
      </c>
      <c r="AM57" s="23">
        <f>'Master Data'!AM52</f>
        <v>0</v>
      </c>
      <c r="AN57" s="23">
        <f>'Master Data'!AN52</f>
        <v>0</v>
      </c>
      <c r="AO57" s="23">
        <f>'Master Data'!AO52</f>
        <v>0</v>
      </c>
      <c r="AP57" s="23">
        <f>'Master Data'!AP52</f>
        <v>0</v>
      </c>
      <c r="AQ57" s="23">
        <f t="shared" si="11"/>
        <v>0</v>
      </c>
      <c r="AR57" s="16">
        <f t="shared" si="12"/>
        <v>0</v>
      </c>
      <c r="AS57" s="17">
        <f t="shared" si="9"/>
        <v>0</v>
      </c>
      <c r="AT57" s="16">
        <f t="shared" si="13"/>
        <v>0</v>
      </c>
    </row>
    <row r="58" spans="1:46" ht="15" customHeight="1" outlineLevel="1">
      <c r="A58" s="15" t="str">
        <f>'Master Data'!A53</f>
        <v>STRAIGHT LINE FOOD PRODUCTS PRIVATE LIMITEDROZ36959</v>
      </c>
      <c r="B58" s="15" t="str">
        <f>'Master Data'!B53</f>
        <v>STR</v>
      </c>
      <c r="C58" s="15" t="str">
        <f>'Master Data'!C53</f>
        <v>STRROZ36959</v>
      </c>
      <c r="D58" s="15" t="str">
        <f>'Master Data'!D53</f>
        <v>STRAIGHT LINE FOOD PRODUCTS PRIVATE LIMITED</v>
      </c>
      <c r="E58" s="15" t="str">
        <f>'Master Data'!E53</f>
        <v>Asansol, West Bengal</v>
      </c>
      <c r="F58" s="15" t="str">
        <f>'Master Data'!F53</f>
        <v>Biscuits</v>
      </c>
      <c r="G58" s="15" t="str">
        <f>'Master Data'!G53</f>
        <v>ROZ36959</v>
      </c>
      <c r="H58" s="15" t="str">
        <f>'Master Data'!H53</f>
        <v>Samuh Salty Sweety Biscuit 65 g</v>
      </c>
      <c r="I58" s="23">
        <f>'Master Data'!I53</f>
        <v>10</v>
      </c>
      <c r="J58" s="23">
        <f>'Master Data'!J53</f>
        <v>65</v>
      </c>
      <c r="K58" s="23">
        <f>'Master Data'!K53</f>
        <v>60</v>
      </c>
      <c r="L58" s="24">
        <f>'Master Data'!L53</f>
        <v>0</v>
      </c>
      <c r="M58" s="23">
        <f>'Master Data'!M53</f>
        <v>0</v>
      </c>
      <c r="N58" s="23">
        <f>'Master Data'!N53</f>
        <v>0</v>
      </c>
      <c r="O58" s="23">
        <f>'Master Data'!O53</f>
        <v>0</v>
      </c>
      <c r="P58" s="23">
        <f>'Master Data'!P53</f>
        <v>0</v>
      </c>
      <c r="Q58" s="23">
        <f>'Master Data'!Q53</f>
        <v>0</v>
      </c>
      <c r="R58" s="23">
        <f>'Master Data'!R53</f>
        <v>0</v>
      </c>
      <c r="S58" s="23">
        <f>'Master Data'!S53</f>
        <v>0</v>
      </c>
      <c r="T58" s="23">
        <f>'Master Data'!T53</f>
        <v>0</v>
      </c>
      <c r="U58" s="23">
        <f>'Master Data'!U53</f>
        <v>0</v>
      </c>
      <c r="V58" s="23">
        <f>'Master Data'!V53</f>
        <v>0</v>
      </c>
      <c r="W58" s="23">
        <f>'Master Data'!W53</f>
        <v>0</v>
      </c>
      <c r="X58" s="23">
        <f>'Master Data'!X53</f>
        <v>0</v>
      </c>
      <c r="Y58" s="23">
        <f>'Master Data'!Y53</f>
        <v>0</v>
      </c>
      <c r="Z58" s="23">
        <f>'Master Data'!Z53</f>
        <v>0</v>
      </c>
      <c r="AA58" s="23">
        <f>'Master Data'!AA53</f>
        <v>0</v>
      </c>
      <c r="AB58" s="23">
        <f>'Master Data'!AB53</f>
        <v>0</v>
      </c>
      <c r="AC58" s="23">
        <f>'Master Data'!AC53</f>
        <v>0</v>
      </c>
      <c r="AD58" s="23">
        <f>'Master Data'!AD53</f>
        <v>0</v>
      </c>
      <c r="AE58" s="23">
        <f>'Master Data'!AE53</f>
        <v>0</v>
      </c>
      <c r="AF58" s="23">
        <f>'Master Data'!AF53</f>
        <v>0</v>
      </c>
      <c r="AG58" s="23">
        <f>'Master Data'!AG53</f>
        <v>0</v>
      </c>
      <c r="AH58" s="23">
        <f>'Master Data'!AH53</f>
        <v>0</v>
      </c>
      <c r="AI58" s="23">
        <f>'Master Data'!AI53</f>
        <v>0</v>
      </c>
      <c r="AJ58" s="23">
        <f>'Master Data'!AJ53</f>
        <v>0</v>
      </c>
      <c r="AK58" s="23">
        <f>'Master Data'!AK53</f>
        <v>0</v>
      </c>
      <c r="AL58" s="23">
        <f>'Master Data'!AL53</f>
        <v>0</v>
      </c>
      <c r="AM58" s="23">
        <f>'Master Data'!AM53</f>
        <v>0</v>
      </c>
      <c r="AN58" s="23">
        <f>'Master Data'!AN53</f>
        <v>0</v>
      </c>
      <c r="AO58" s="23">
        <f>'Master Data'!AO53</f>
        <v>0</v>
      </c>
      <c r="AP58" s="23">
        <f>'Master Data'!AP53</f>
        <v>0</v>
      </c>
      <c r="AQ58" s="23">
        <f t="shared" si="11"/>
        <v>0</v>
      </c>
      <c r="AR58" s="16">
        <f t="shared" si="12"/>
        <v>0</v>
      </c>
      <c r="AS58" s="17">
        <f t="shared" si="9"/>
        <v>0</v>
      </c>
      <c r="AT58" s="16">
        <f t="shared" si="13"/>
        <v>0</v>
      </c>
    </row>
    <row r="59" spans="1:46" ht="15" customHeight="1" outlineLevel="1">
      <c r="A59" s="15" t="str">
        <f>'Master Data'!A54</f>
        <v>STRAIGHT LINE FOOD PRODUCTS PRIVATE LIMITEDROZ23742</v>
      </c>
      <c r="B59" s="15" t="str">
        <f>'Master Data'!B54</f>
        <v>STR</v>
      </c>
      <c r="C59" s="15" t="str">
        <f>'Master Data'!C54</f>
        <v>STRROZ23742</v>
      </c>
      <c r="D59" s="15" t="str">
        <f>'Master Data'!D54</f>
        <v>STRAIGHT LINE FOOD PRODUCTS PRIVATE LIMITED</v>
      </c>
      <c r="E59" s="15" t="str">
        <f>'Master Data'!E54</f>
        <v>Asansol, West Bengal</v>
      </c>
      <c r="F59" s="15" t="str">
        <f>'Master Data'!F54</f>
        <v>Biscuits</v>
      </c>
      <c r="G59" s="15" t="str">
        <f>'Master Data'!G54</f>
        <v>ROZ23742</v>
      </c>
      <c r="H59" s="15" t="str">
        <f>'Master Data'!H54</f>
        <v>Samuh Salty Sweety Biscuit 32 g</v>
      </c>
      <c r="I59" s="23">
        <f>'Master Data'!I54</f>
        <v>5</v>
      </c>
      <c r="J59" s="23">
        <f>'Master Data'!J54</f>
        <v>32</v>
      </c>
      <c r="K59" s="23">
        <f>'Master Data'!K54</f>
        <v>144</v>
      </c>
      <c r="L59" s="24">
        <f>'Master Data'!L54</f>
        <v>0</v>
      </c>
      <c r="M59" s="23">
        <f>'Master Data'!M54</f>
        <v>0</v>
      </c>
      <c r="N59" s="23">
        <f>'Master Data'!N54</f>
        <v>0</v>
      </c>
      <c r="O59" s="23">
        <f>'Master Data'!O54</f>
        <v>0</v>
      </c>
      <c r="P59" s="23">
        <f>'Master Data'!P54</f>
        <v>0</v>
      </c>
      <c r="Q59" s="23">
        <f>'Master Data'!Q54</f>
        <v>0</v>
      </c>
      <c r="R59" s="23">
        <f>'Master Data'!R54</f>
        <v>0</v>
      </c>
      <c r="S59" s="23">
        <f>'Master Data'!S54</f>
        <v>0</v>
      </c>
      <c r="T59" s="23">
        <f>'Master Data'!T54</f>
        <v>0</v>
      </c>
      <c r="U59" s="23">
        <f>'Master Data'!U54</f>
        <v>0</v>
      </c>
      <c r="V59" s="23">
        <f>'Master Data'!V54</f>
        <v>0</v>
      </c>
      <c r="W59" s="23">
        <f>'Master Data'!W54</f>
        <v>0</v>
      </c>
      <c r="X59" s="23">
        <f>'Master Data'!X54</f>
        <v>0</v>
      </c>
      <c r="Y59" s="23">
        <f>'Master Data'!Y54</f>
        <v>0</v>
      </c>
      <c r="Z59" s="23">
        <f>'Master Data'!Z54</f>
        <v>0</v>
      </c>
      <c r="AA59" s="23">
        <f>'Master Data'!AA54</f>
        <v>0</v>
      </c>
      <c r="AB59" s="23">
        <f>'Master Data'!AB54</f>
        <v>0</v>
      </c>
      <c r="AC59" s="23">
        <f>'Master Data'!AC54</f>
        <v>0</v>
      </c>
      <c r="AD59" s="23">
        <f>'Master Data'!AD54</f>
        <v>0</v>
      </c>
      <c r="AE59" s="23">
        <f>'Master Data'!AE54</f>
        <v>0</v>
      </c>
      <c r="AF59" s="23">
        <f>'Master Data'!AF54</f>
        <v>0</v>
      </c>
      <c r="AG59" s="23">
        <f>'Master Data'!AG54</f>
        <v>0</v>
      </c>
      <c r="AH59" s="23">
        <f>'Master Data'!AH54</f>
        <v>0</v>
      </c>
      <c r="AI59" s="23">
        <f>'Master Data'!AI54</f>
        <v>0</v>
      </c>
      <c r="AJ59" s="23">
        <f>'Master Data'!AJ54</f>
        <v>0</v>
      </c>
      <c r="AK59" s="23">
        <f>'Master Data'!AK54</f>
        <v>0</v>
      </c>
      <c r="AL59" s="23">
        <f>'Master Data'!AL54</f>
        <v>0</v>
      </c>
      <c r="AM59" s="23">
        <f>'Master Data'!AM54</f>
        <v>0</v>
      </c>
      <c r="AN59" s="23">
        <f>'Master Data'!AN54</f>
        <v>0</v>
      </c>
      <c r="AO59" s="23">
        <f>'Master Data'!AO54</f>
        <v>0</v>
      </c>
      <c r="AP59" s="23">
        <f>'Master Data'!AP54</f>
        <v>0</v>
      </c>
      <c r="AQ59" s="23">
        <f t="shared" si="11"/>
        <v>0</v>
      </c>
      <c r="AR59" s="16">
        <f t="shared" si="12"/>
        <v>0</v>
      </c>
      <c r="AS59" s="17">
        <f t="shared" si="9"/>
        <v>0</v>
      </c>
      <c r="AT59" s="16">
        <f t="shared" si="13"/>
        <v>0</v>
      </c>
    </row>
    <row r="60" spans="1:46" ht="15" customHeight="1" outlineLevel="1">
      <c r="A60" s="15" t="str">
        <f>'Master Data'!A55</f>
        <v>STRAIGHT LINE FOOD PRODUCTS PRIVATE LIMITEDROZ36958</v>
      </c>
      <c r="B60" s="15" t="str">
        <f>'Master Data'!B55</f>
        <v>STR</v>
      </c>
      <c r="C60" s="15" t="str">
        <f>'Master Data'!C55</f>
        <v>STRROZ36958</v>
      </c>
      <c r="D60" s="15" t="str">
        <f>'Master Data'!D55</f>
        <v>STRAIGHT LINE FOOD PRODUCTS PRIVATE LIMITED</v>
      </c>
      <c r="E60" s="15" t="str">
        <f>'Master Data'!E55</f>
        <v>Asansol, West Bengal</v>
      </c>
      <c r="F60" s="15" t="str">
        <f>'Master Data'!F55</f>
        <v>Biscuits</v>
      </c>
      <c r="G60" s="15" t="str">
        <f>'Master Data'!G55</f>
        <v>ROZ36958</v>
      </c>
      <c r="H60" s="15" t="str">
        <f>'Master Data'!H55</f>
        <v>Samuh Butter Cookies Biscuit 65g</v>
      </c>
      <c r="I60" s="23">
        <f>'Master Data'!I55</f>
        <v>10</v>
      </c>
      <c r="J60" s="23">
        <f>'Master Data'!J55</f>
        <v>65</v>
      </c>
      <c r="K60" s="23">
        <f>'Master Data'!K55</f>
        <v>60</v>
      </c>
      <c r="L60" s="24">
        <f>'Master Data'!L55</f>
        <v>0</v>
      </c>
      <c r="M60" s="23">
        <f>'Master Data'!M55</f>
        <v>0</v>
      </c>
      <c r="N60" s="23">
        <f>'Master Data'!N55</f>
        <v>0</v>
      </c>
      <c r="O60" s="23">
        <f>'Master Data'!O55</f>
        <v>0</v>
      </c>
      <c r="P60" s="23">
        <f>'Master Data'!P55</f>
        <v>0</v>
      </c>
      <c r="Q60" s="23">
        <f>'Master Data'!Q55</f>
        <v>0</v>
      </c>
      <c r="R60" s="23">
        <f>'Master Data'!R55</f>
        <v>0</v>
      </c>
      <c r="S60" s="23">
        <f>'Master Data'!S55</f>
        <v>0</v>
      </c>
      <c r="T60" s="23">
        <f>'Master Data'!T55</f>
        <v>0</v>
      </c>
      <c r="U60" s="23">
        <f>'Master Data'!U55</f>
        <v>0</v>
      </c>
      <c r="V60" s="23">
        <f>'Master Data'!V55</f>
        <v>0</v>
      </c>
      <c r="W60" s="23">
        <f>'Master Data'!W55</f>
        <v>0</v>
      </c>
      <c r="X60" s="23">
        <f>'Master Data'!X55</f>
        <v>0</v>
      </c>
      <c r="Y60" s="23">
        <f>'Master Data'!Y55</f>
        <v>0</v>
      </c>
      <c r="Z60" s="23">
        <f>'Master Data'!Z55</f>
        <v>0</v>
      </c>
      <c r="AA60" s="23">
        <f>'Master Data'!AA55</f>
        <v>0</v>
      </c>
      <c r="AB60" s="23">
        <f>'Master Data'!AB55</f>
        <v>0</v>
      </c>
      <c r="AC60" s="23">
        <f>'Master Data'!AC55</f>
        <v>0</v>
      </c>
      <c r="AD60" s="23">
        <f>'Master Data'!AD55</f>
        <v>0</v>
      </c>
      <c r="AE60" s="23">
        <f>'Master Data'!AE55</f>
        <v>0</v>
      </c>
      <c r="AF60" s="23">
        <f>'Master Data'!AF55</f>
        <v>0</v>
      </c>
      <c r="AG60" s="23">
        <f>'Master Data'!AG55</f>
        <v>0</v>
      </c>
      <c r="AH60" s="23">
        <f>'Master Data'!AH55</f>
        <v>0</v>
      </c>
      <c r="AI60" s="23">
        <f>'Master Data'!AI55</f>
        <v>0</v>
      </c>
      <c r="AJ60" s="23">
        <f>'Master Data'!AJ55</f>
        <v>0</v>
      </c>
      <c r="AK60" s="23">
        <f>'Master Data'!AK55</f>
        <v>0</v>
      </c>
      <c r="AL60" s="23">
        <f>'Master Data'!AL55</f>
        <v>0</v>
      </c>
      <c r="AM60" s="23">
        <f>'Master Data'!AM55</f>
        <v>0</v>
      </c>
      <c r="AN60" s="23">
        <f>'Master Data'!AN55</f>
        <v>0</v>
      </c>
      <c r="AO60" s="23">
        <f>'Master Data'!AO55</f>
        <v>0</v>
      </c>
      <c r="AP60" s="23">
        <f>'Master Data'!AP55</f>
        <v>0</v>
      </c>
      <c r="AQ60" s="23">
        <f t="shared" si="11"/>
        <v>0</v>
      </c>
      <c r="AR60" s="16">
        <f t="shared" si="12"/>
        <v>0</v>
      </c>
      <c r="AS60" s="17">
        <f t="shared" si="9"/>
        <v>0</v>
      </c>
      <c r="AT60" s="16">
        <f t="shared" si="13"/>
        <v>0</v>
      </c>
    </row>
    <row r="61" spans="1:46" ht="15" customHeight="1" outlineLevel="1">
      <c r="A61" s="15" t="str">
        <f>'Master Data'!A56</f>
        <v>STRAIGHT LINE FOOD PRODUCTS PRIVATE LIMITEDROZ36960</v>
      </c>
      <c r="B61" s="15" t="str">
        <f>'Master Data'!B56</f>
        <v>STR</v>
      </c>
      <c r="C61" s="15" t="str">
        <f>'Master Data'!C56</f>
        <v>STRROZ36960</v>
      </c>
      <c r="D61" s="15" t="str">
        <f>'Master Data'!D56</f>
        <v>STRAIGHT LINE FOOD PRODUCTS PRIVATE LIMITED</v>
      </c>
      <c r="E61" s="15" t="str">
        <f>'Master Data'!E56</f>
        <v>Asansol, West Bengal</v>
      </c>
      <c r="F61" s="15" t="str">
        <f>'Master Data'!F56</f>
        <v>Biscuits</v>
      </c>
      <c r="G61" s="15" t="str">
        <f>'Master Data'!G56</f>
        <v>ROZ36960</v>
      </c>
      <c r="H61" s="15" t="str">
        <f>'Master Data'!H56</f>
        <v>Samuh Butter Cashew Biscuit 60g</v>
      </c>
      <c r="I61" s="23">
        <f>'Master Data'!I56</f>
        <v>10</v>
      </c>
      <c r="J61" s="23">
        <f>'Master Data'!J56</f>
        <v>60</v>
      </c>
      <c r="K61" s="23">
        <f>'Master Data'!K56</f>
        <v>60</v>
      </c>
      <c r="L61" s="24">
        <f>'Master Data'!L56</f>
        <v>0</v>
      </c>
      <c r="M61" s="23">
        <f>'Master Data'!M56</f>
        <v>0</v>
      </c>
      <c r="N61" s="23">
        <f>'Master Data'!N56</f>
        <v>0</v>
      </c>
      <c r="O61" s="23">
        <f>'Master Data'!O56</f>
        <v>0</v>
      </c>
      <c r="P61" s="23">
        <f>'Master Data'!P56</f>
        <v>0</v>
      </c>
      <c r="Q61" s="23">
        <f>'Master Data'!Q56</f>
        <v>0</v>
      </c>
      <c r="R61" s="23">
        <f>'Master Data'!R56</f>
        <v>0</v>
      </c>
      <c r="S61" s="23">
        <f>'Master Data'!S56</f>
        <v>0</v>
      </c>
      <c r="T61" s="23">
        <f>'Master Data'!T56</f>
        <v>0</v>
      </c>
      <c r="U61" s="23">
        <f>'Master Data'!U56</f>
        <v>0</v>
      </c>
      <c r="V61" s="23">
        <f>'Master Data'!V56</f>
        <v>0</v>
      </c>
      <c r="W61" s="23">
        <f>'Master Data'!W56</f>
        <v>0</v>
      </c>
      <c r="X61" s="23">
        <f>'Master Data'!X56</f>
        <v>0</v>
      </c>
      <c r="Y61" s="23">
        <f>'Master Data'!Y56</f>
        <v>0</v>
      </c>
      <c r="Z61" s="23">
        <f>'Master Data'!Z56</f>
        <v>0</v>
      </c>
      <c r="AA61" s="23">
        <f>'Master Data'!AA56</f>
        <v>0</v>
      </c>
      <c r="AB61" s="23">
        <f>'Master Data'!AB56</f>
        <v>0</v>
      </c>
      <c r="AC61" s="23">
        <f>'Master Data'!AC56</f>
        <v>0</v>
      </c>
      <c r="AD61" s="23">
        <f>'Master Data'!AD56</f>
        <v>0</v>
      </c>
      <c r="AE61" s="23">
        <f>'Master Data'!AE56</f>
        <v>0</v>
      </c>
      <c r="AF61" s="23">
        <f>'Master Data'!AF56</f>
        <v>0</v>
      </c>
      <c r="AG61" s="23">
        <f>'Master Data'!AG56</f>
        <v>0</v>
      </c>
      <c r="AH61" s="23">
        <f>'Master Data'!AH56</f>
        <v>0</v>
      </c>
      <c r="AI61" s="23">
        <f>'Master Data'!AI56</f>
        <v>0</v>
      </c>
      <c r="AJ61" s="23">
        <f>'Master Data'!AJ56</f>
        <v>0</v>
      </c>
      <c r="AK61" s="23">
        <f>'Master Data'!AK56</f>
        <v>0</v>
      </c>
      <c r="AL61" s="23">
        <f>'Master Data'!AL56</f>
        <v>0</v>
      </c>
      <c r="AM61" s="23">
        <f>'Master Data'!AM56</f>
        <v>0</v>
      </c>
      <c r="AN61" s="23">
        <f>'Master Data'!AN56</f>
        <v>0</v>
      </c>
      <c r="AO61" s="23">
        <f>'Master Data'!AO56</f>
        <v>0</v>
      </c>
      <c r="AP61" s="23">
        <f>'Master Data'!AP56</f>
        <v>0</v>
      </c>
      <c r="AQ61" s="23">
        <f t="shared" si="11"/>
        <v>0</v>
      </c>
      <c r="AR61" s="16">
        <f t="shared" si="12"/>
        <v>0</v>
      </c>
      <c r="AS61" s="17">
        <f t="shared" si="9"/>
        <v>0</v>
      </c>
      <c r="AT61" s="16">
        <f t="shared" si="13"/>
        <v>0</v>
      </c>
    </row>
    <row r="62" spans="1:46" ht="15" customHeight="1" outlineLevel="1">
      <c r="A62" s="15" t="str">
        <f>'Master Data'!A57</f>
        <v>STRAIGHT LINE FOOD PRODUCTS PRIVATE LIMITEDROZ36956</v>
      </c>
      <c r="B62" s="15" t="str">
        <f>'Master Data'!B57</f>
        <v>STR</v>
      </c>
      <c r="C62" s="15" t="str">
        <f>'Master Data'!C57</f>
        <v>STRROZ36956</v>
      </c>
      <c r="D62" s="15" t="str">
        <f>'Master Data'!D57</f>
        <v>STRAIGHT LINE FOOD PRODUCTS PRIVATE LIMITED</v>
      </c>
      <c r="E62" s="15" t="str">
        <f>'Master Data'!E57</f>
        <v>Asansol, West Bengal</v>
      </c>
      <c r="F62" s="15" t="str">
        <f>'Master Data'!F57</f>
        <v>Biscuits</v>
      </c>
      <c r="G62" s="15" t="str">
        <f>'Master Data'!G57</f>
        <v>ROZ36956</v>
      </c>
      <c r="H62" s="15" t="str">
        <f>'Master Data'!H57</f>
        <v>Samuh Beat it! Bite it! Orange Cream Biscuit 70 g</v>
      </c>
      <c r="I62" s="23">
        <f>'Master Data'!I57</f>
        <v>10</v>
      </c>
      <c r="J62" s="23">
        <f>'Master Data'!J57</f>
        <v>70</v>
      </c>
      <c r="K62" s="23">
        <f>'Master Data'!K57</f>
        <v>60</v>
      </c>
      <c r="L62" s="24">
        <f>'Master Data'!L57</f>
        <v>0</v>
      </c>
      <c r="M62" s="23">
        <f>'Master Data'!M57</f>
        <v>0</v>
      </c>
      <c r="N62" s="23">
        <f>'Master Data'!N57</f>
        <v>0</v>
      </c>
      <c r="O62" s="23">
        <f>'Master Data'!O57</f>
        <v>0</v>
      </c>
      <c r="P62" s="23">
        <f>'Master Data'!P57</f>
        <v>0</v>
      </c>
      <c r="Q62" s="23">
        <f>'Master Data'!Q57</f>
        <v>0</v>
      </c>
      <c r="R62" s="23">
        <f>'Master Data'!R57</f>
        <v>0</v>
      </c>
      <c r="S62" s="23">
        <f>'Master Data'!S57</f>
        <v>0</v>
      </c>
      <c r="T62" s="23">
        <f>'Master Data'!T57</f>
        <v>0</v>
      </c>
      <c r="U62" s="23">
        <f>'Master Data'!U57</f>
        <v>0</v>
      </c>
      <c r="V62" s="23">
        <f>'Master Data'!V57</f>
        <v>0</v>
      </c>
      <c r="W62" s="23">
        <f>'Master Data'!W57</f>
        <v>0</v>
      </c>
      <c r="X62" s="23">
        <f>'Master Data'!X57</f>
        <v>0</v>
      </c>
      <c r="Y62" s="23">
        <f>'Master Data'!Y57</f>
        <v>0</v>
      </c>
      <c r="Z62" s="23">
        <f>'Master Data'!Z57</f>
        <v>0</v>
      </c>
      <c r="AA62" s="23">
        <f>'Master Data'!AA57</f>
        <v>0</v>
      </c>
      <c r="AB62" s="23">
        <f>'Master Data'!AB57</f>
        <v>0</v>
      </c>
      <c r="AC62" s="23">
        <f>'Master Data'!AC57</f>
        <v>0</v>
      </c>
      <c r="AD62" s="23">
        <f>'Master Data'!AD57</f>
        <v>0</v>
      </c>
      <c r="AE62" s="23">
        <f>'Master Data'!AE57</f>
        <v>0</v>
      </c>
      <c r="AF62" s="23">
        <f>'Master Data'!AF57</f>
        <v>0</v>
      </c>
      <c r="AG62" s="23">
        <f>'Master Data'!AG57</f>
        <v>0</v>
      </c>
      <c r="AH62" s="23">
        <f>'Master Data'!AH57</f>
        <v>0</v>
      </c>
      <c r="AI62" s="23">
        <f>'Master Data'!AI57</f>
        <v>0</v>
      </c>
      <c r="AJ62" s="23">
        <f>'Master Data'!AJ57</f>
        <v>0</v>
      </c>
      <c r="AK62" s="23">
        <f>'Master Data'!AK57</f>
        <v>0</v>
      </c>
      <c r="AL62" s="23">
        <f>'Master Data'!AL57</f>
        <v>0</v>
      </c>
      <c r="AM62" s="23">
        <f>'Master Data'!AM57</f>
        <v>0</v>
      </c>
      <c r="AN62" s="23">
        <f>'Master Data'!AN57</f>
        <v>0</v>
      </c>
      <c r="AO62" s="23">
        <f>'Master Data'!AO57</f>
        <v>0</v>
      </c>
      <c r="AP62" s="23">
        <f>'Master Data'!AP57</f>
        <v>0</v>
      </c>
      <c r="AQ62" s="23">
        <f t="shared" si="11"/>
        <v>0</v>
      </c>
      <c r="AR62" s="16">
        <f t="shared" si="12"/>
        <v>0</v>
      </c>
      <c r="AS62" s="17">
        <f t="shared" si="9"/>
        <v>0</v>
      </c>
      <c r="AT62" s="16">
        <f t="shared" si="13"/>
        <v>0</v>
      </c>
    </row>
    <row r="63" spans="1:46" ht="15" customHeight="1" outlineLevel="1">
      <c r="A63" s="15" t="str">
        <f>'Master Data'!A58</f>
        <v>STRAIGHT LINE FOOD PRODUCTS PRIVATE LIMITEDROZ39494</v>
      </c>
      <c r="B63" s="15" t="str">
        <f>'Master Data'!B58</f>
        <v>STR</v>
      </c>
      <c r="C63" s="15" t="str">
        <f>'Master Data'!C58</f>
        <v>STRROZ39494</v>
      </c>
      <c r="D63" s="15" t="str">
        <f>'Master Data'!D58</f>
        <v>STRAIGHT LINE FOOD PRODUCTS PRIVATE LIMITED</v>
      </c>
      <c r="E63" s="15" t="str">
        <f>'Master Data'!E58</f>
        <v>Asansol, West Bengal</v>
      </c>
      <c r="F63" s="15" t="str">
        <f>'Master Data'!F58</f>
        <v>Biscuits</v>
      </c>
      <c r="G63" s="15" t="str">
        <f>'Master Data'!G58</f>
        <v>ROZ39494</v>
      </c>
      <c r="H63" s="15" t="str">
        <f>'Master Data'!H58</f>
        <v>Samuh Milky Biscuit 35 g</v>
      </c>
      <c r="I63" s="23">
        <f>'Master Data'!I58</f>
        <v>5</v>
      </c>
      <c r="J63" s="23">
        <f>'Master Data'!J58</f>
        <v>35</v>
      </c>
      <c r="K63" s="23">
        <f>'Master Data'!K58</f>
        <v>144</v>
      </c>
      <c r="L63" s="24">
        <f>'Master Data'!L58</f>
        <v>0</v>
      </c>
      <c r="M63" s="23">
        <f>'Master Data'!M58</f>
        <v>0</v>
      </c>
      <c r="N63" s="23">
        <f>'Master Data'!N58</f>
        <v>0</v>
      </c>
      <c r="O63" s="23">
        <f>'Master Data'!O58</f>
        <v>0</v>
      </c>
      <c r="P63" s="23">
        <f>'Master Data'!P58</f>
        <v>0</v>
      </c>
      <c r="Q63" s="23">
        <f>'Master Data'!Q58</f>
        <v>0</v>
      </c>
      <c r="R63" s="23">
        <f>'Master Data'!R58</f>
        <v>0</v>
      </c>
      <c r="S63" s="23">
        <f>'Master Data'!S58</f>
        <v>0</v>
      </c>
      <c r="T63" s="23">
        <f>'Master Data'!T58</f>
        <v>0</v>
      </c>
      <c r="U63" s="23">
        <f>'Master Data'!U58</f>
        <v>0</v>
      </c>
      <c r="V63" s="23">
        <f>'Master Data'!V58</f>
        <v>0</v>
      </c>
      <c r="W63" s="23">
        <f>'Master Data'!W58</f>
        <v>0</v>
      </c>
      <c r="X63" s="23">
        <f>'Master Data'!X58</f>
        <v>0</v>
      </c>
      <c r="Y63" s="23">
        <f>'Master Data'!Y58</f>
        <v>0</v>
      </c>
      <c r="Z63" s="23">
        <f>'Master Data'!Z58</f>
        <v>0</v>
      </c>
      <c r="AA63" s="23">
        <f>'Master Data'!AA58</f>
        <v>0</v>
      </c>
      <c r="AB63" s="23">
        <f>'Master Data'!AB58</f>
        <v>0</v>
      </c>
      <c r="AC63" s="23">
        <f>'Master Data'!AC58</f>
        <v>0</v>
      </c>
      <c r="AD63" s="23">
        <f>'Master Data'!AD58</f>
        <v>0</v>
      </c>
      <c r="AE63" s="23">
        <f>'Master Data'!AE58</f>
        <v>0</v>
      </c>
      <c r="AF63" s="23">
        <f>'Master Data'!AF58</f>
        <v>0</v>
      </c>
      <c r="AG63" s="23">
        <f>'Master Data'!AG58</f>
        <v>0</v>
      </c>
      <c r="AH63" s="23">
        <f>'Master Data'!AH58</f>
        <v>0</v>
      </c>
      <c r="AI63" s="23">
        <f>'Master Data'!AI58</f>
        <v>0</v>
      </c>
      <c r="AJ63" s="23">
        <f>'Master Data'!AJ58</f>
        <v>0</v>
      </c>
      <c r="AK63" s="23">
        <f>'Master Data'!AK58</f>
        <v>0</v>
      </c>
      <c r="AL63" s="23">
        <f>'Master Data'!AL58</f>
        <v>0</v>
      </c>
      <c r="AM63" s="23">
        <f>'Master Data'!AM58</f>
        <v>0</v>
      </c>
      <c r="AN63" s="23">
        <f>'Master Data'!AN58</f>
        <v>0</v>
      </c>
      <c r="AO63" s="23">
        <f>'Master Data'!AO58</f>
        <v>0</v>
      </c>
      <c r="AP63" s="23">
        <f>'Master Data'!AP58</f>
        <v>0</v>
      </c>
      <c r="AQ63" s="23">
        <f t="shared" si="11"/>
        <v>0</v>
      </c>
      <c r="AR63" s="16">
        <f t="shared" si="12"/>
        <v>0</v>
      </c>
      <c r="AS63" s="17">
        <f t="shared" si="9"/>
        <v>0</v>
      </c>
      <c r="AT63" s="16">
        <f t="shared" si="13"/>
        <v>0</v>
      </c>
    </row>
    <row r="64" spans="1:46" ht="15" customHeight="1" outlineLevel="1">
      <c r="A64" s="15" t="str">
        <f>'Master Data'!A59</f>
        <v>STRAIGHT LINE FOOD PRODUCTS PRIVATE LIMITEDROZ23740</v>
      </c>
      <c r="B64" s="15" t="str">
        <f>'Master Data'!B59</f>
        <v>STR</v>
      </c>
      <c r="C64" s="15" t="str">
        <f>'Master Data'!C59</f>
        <v>STRROZ23740</v>
      </c>
      <c r="D64" s="15" t="str">
        <f>'Master Data'!D59</f>
        <v>STRAIGHT LINE FOOD PRODUCTS PRIVATE LIMITED</v>
      </c>
      <c r="E64" s="15" t="str">
        <f>'Master Data'!E59</f>
        <v>Asansol, West Bengal</v>
      </c>
      <c r="F64" s="15" t="str">
        <f>'Master Data'!F59</f>
        <v>Biscuits</v>
      </c>
      <c r="G64" s="15" t="str">
        <f>'Master Data'!G59</f>
        <v>ROZ23740</v>
      </c>
      <c r="H64" s="15" t="str">
        <f>'Master Data'!H59</f>
        <v>Samuh Zeera Biscuit 35 g</v>
      </c>
      <c r="I64" s="23">
        <f>'Master Data'!I59</f>
        <v>5</v>
      </c>
      <c r="J64" s="23">
        <f>'Master Data'!J59</f>
        <v>35</v>
      </c>
      <c r="K64" s="23">
        <f>'Master Data'!K59</f>
        <v>144</v>
      </c>
      <c r="L64" s="24">
        <f>'Master Data'!L59</f>
        <v>0</v>
      </c>
      <c r="M64" s="23">
        <f>'Master Data'!M59</f>
        <v>0</v>
      </c>
      <c r="N64" s="23">
        <f>'Master Data'!N59</f>
        <v>0</v>
      </c>
      <c r="O64" s="23">
        <f>'Master Data'!O59</f>
        <v>0</v>
      </c>
      <c r="P64" s="23">
        <f>'Master Data'!P59</f>
        <v>0</v>
      </c>
      <c r="Q64" s="23">
        <f>'Master Data'!Q59</f>
        <v>0</v>
      </c>
      <c r="R64" s="23">
        <f>'Master Data'!R59</f>
        <v>0</v>
      </c>
      <c r="S64" s="23">
        <f>'Master Data'!S59</f>
        <v>0</v>
      </c>
      <c r="T64" s="23">
        <f>'Master Data'!T59</f>
        <v>0</v>
      </c>
      <c r="U64" s="23">
        <f>'Master Data'!U59</f>
        <v>0</v>
      </c>
      <c r="V64" s="23">
        <f>'Master Data'!V59</f>
        <v>0</v>
      </c>
      <c r="W64" s="23">
        <f>'Master Data'!W59</f>
        <v>0</v>
      </c>
      <c r="X64" s="23">
        <f>'Master Data'!X59</f>
        <v>0</v>
      </c>
      <c r="Y64" s="23">
        <f>'Master Data'!Y59</f>
        <v>0</v>
      </c>
      <c r="Z64" s="23">
        <f>'Master Data'!Z59</f>
        <v>0</v>
      </c>
      <c r="AA64" s="23">
        <f>'Master Data'!AA59</f>
        <v>0</v>
      </c>
      <c r="AB64" s="23">
        <f>'Master Data'!AB59</f>
        <v>0</v>
      </c>
      <c r="AC64" s="23">
        <f>'Master Data'!AC59</f>
        <v>0</v>
      </c>
      <c r="AD64" s="23">
        <f>'Master Data'!AD59</f>
        <v>0</v>
      </c>
      <c r="AE64" s="23">
        <f>'Master Data'!AE59</f>
        <v>0</v>
      </c>
      <c r="AF64" s="23">
        <f>'Master Data'!AF59</f>
        <v>0</v>
      </c>
      <c r="AG64" s="23">
        <f>'Master Data'!AG59</f>
        <v>0</v>
      </c>
      <c r="AH64" s="23">
        <f>'Master Data'!AH59</f>
        <v>0</v>
      </c>
      <c r="AI64" s="23">
        <f>'Master Data'!AI59</f>
        <v>0</v>
      </c>
      <c r="AJ64" s="23">
        <f>'Master Data'!AJ59</f>
        <v>0</v>
      </c>
      <c r="AK64" s="23">
        <f>'Master Data'!AK59</f>
        <v>0</v>
      </c>
      <c r="AL64" s="23">
        <f>'Master Data'!AL59</f>
        <v>0</v>
      </c>
      <c r="AM64" s="23">
        <f>'Master Data'!AM59</f>
        <v>0</v>
      </c>
      <c r="AN64" s="23">
        <f>'Master Data'!AN59</f>
        <v>0</v>
      </c>
      <c r="AO64" s="23">
        <f>'Master Data'!AO59</f>
        <v>0</v>
      </c>
      <c r="AP64" s="23">
        <f>'Master Data'!AP59</f>
        <v>0</v>
      </c>
      <c r="AQ64" s="23">
        <f t="shared" si="11"/>
        <v>0</v>
      </c>
      <c r="AR64" s="16">
        <f t="shared" si="12"/>
        <v>0</v>
      </c>
      <c r="AS64" s="17">
        <f t="shared" si="9"/>
        <v>0</v>
      </c>
      <c r="AT64" s="16">
        <f t="shared" si="13"/>
        <v>0</v>
      </c>
    </row>
    <row r="65" spans="1:46" ht="15" customHeight="1" outlineLevel="1">
      <c r="A65" s="15" t="str">
        <f>'Master Data'!A60</f>
        <v>STRAIGHT LINE FOOD PRODUCTS PRIVATE LIMITEDROZ39495</v>
      </c>
      <c r="B65" s="15" t="str">
        <f>'Master Data'!B60</f>
        <v>STR</v>
      </c>
      <c r="C65" s="15" t="str">
        <f>'Master Data'!C60</f>
        <v>STRROZ39495</v>
      </c>
      <c r="D65" s="15" t="str">
        <f>'Master Data'!D60</f>
        <v>STRAIGHT LINE FOOD PRODUCTS PRIVATE LIMITED</v>
      </c>
      <c r="E65" s="15" t="str">
        <f>'Master Data'!E60</f>
        <v>Asansol, West Bengal</v>
      </c>
      <c r="F65" s="15" t="str">
        <f>'Master Data'!F60</f>
        <v>Biscuits</v>
      </c>
      <c r="G65" s="15" t="str">
        <f>'Master Data'!G60</f>
        <v>ROZ39495</v>
      </c>
      <c r="H65" s="15" t="str">
        <f>'Master Data'!H60</f>
        <v>Samuh Milky Biscuit 70 g</v>
      </c>
      <c r="I65" s="23">
        <f>'Master Data'!I60</f>
        <v>10</v>
      </c>
      <c r="J65" s="23">
        <f>'Master Data'!J60</f>
        <v>70</v>
      </c>
      <c r="K65" s="23">
        <f>'Master Data'!K60</f>
        <v>72</v>
      </c>
      <c r="L65" s="24">
        <f>'Master Data'!L60</f>
        <v>0</v>
      </c>
      <c r="M65" s="23">
        <f>'Master Data'!M60</f>
        <v>0</v>
      </c>
      <c r="N65" s="23">
        <f>'Master Data'!N60</f>
        <v>0</v>
      </c>
      <c r="O65" s="23">
        <f>'Master Data'!O60</f>
        <v>0</v>
      </c>
      <c r="P65" s="23">
        <f>'Master Data'!P60</f>
        <v>0</v>
      </c>
      <c r="Q65" s="23">
        <f>'Master Data'!Q60</f>
        <v>0</v>
      </c>
      <c r="R65" s="23">
        <f>'Master Data'!R60</f>
        <v>0</v>
      </c>
      <c r="S65" s="23">
        <f>'Master Data'!S60</f>
        <v>0</v>
      </c>
      <c r="T65" s="23">
        <f>'Master Data'!T60</f>
        <v>0</v>
      </c>
      <c r="U65" s="23">
        <f>'Master Data'!U60</f>
        <v>0</v>
      </c>
      <c r="V65" s="23">
        <f>'Master Data'!V60</f>
        <v>0</v>
      </c>
      <c r="W65" s="23">
        <f>'Master Data'!W60</f>
        <v>0</v>
      </c>
      <c r="X65" s="23">
        <f>'Master Data'!X60</f>
        <v>0</v>
      </c>
      <c r="Y65" s="23">
        <f>'Master Data'!Y60</f>
        <v>0</v>
      </c>
      <c r="Z65" s="23">
        <f>'Master Data'!Z60</f>
        <v>0</v>
      </c>
      <c r="AA65" s="23">
        <f>'Master Data'!AA60</f>
        <v>0</v>
      </c>
      <c r="AB65" s="23">
        <f>'Master Data'!AB60</f>
        <v>0</v>
      </c>
      <c r="AC65" s="23">
        <f>'Master Data'!AC60</f>
        <v>0</v>
      </c>
      <c r="AD65" s="23">
        <f>'Master Data'!AD60</f>
        <v>0</v>
      </c>
      <c r="AE65" s="23">
        <f>'Master Data'!AE60</f>
        <v>0</v>
      </c>
      <c r="AF65" s="23">
        <f>'Master Data'!AF60</f>
        <v>0</v>
      </c>
      <c r="AG65" s="23">
        <f>'Master Data'!AG60</f>
        <v>0</v>
      </c>
      <c r="AH65" s="23">
        <f>'Master Data'!AH60</f>
        <v>0</v>
      </c>
      <c r="AI65" s="23">
        <f>'Master Data'!AI60</f>
        <v>0</v>
      </c>
      <c r="AJ65" s="23">
        <f>'Master Data'!AJ60</f>
        <v>0</v>
      </c>
      <c r="AK65" s="23">
        <f>'Master Data'!AK60</f>
        <v>0</v>
      </c>
      <c r="AL65" s="23">
        <f>'Master Data'!AL60</f>
        <v>0</v>
      </c>
      <c r="AM65" s="23">
        <f>'Master Data'!AM60</f>
        <v>0</v>
      </c>
      <c r="AN65" s="23">
        <f>'Master Data'!AN60</f>
        <v>0</v>
      </c>
      <c r="AO65" s="23">
        <f>'Master Data'!AO60</f>
        <v>0</v>
      </c>
      <c r="AP65" s="23">
        <f>'Master Data'!AP60</f>
        <v>0</v>
      </c>
      <c r="AQ65" s="23">
        <f t="shared" si="11"/>
        <v>0</v>
      </c>
      <c r="AR65" s="16">
        <f t="shared" si="12"/>
        <v>0</v>
      </c>
      <c r="AS65" s="17">
        <f t="shared" si="9"/>
        <v>0</v>
      </c>
      <c r="AT65" s="16">
        <f t="shared" si="13"/>
        <v>0</v>
      </c>
    </row>
    <row r="66" spans="1:46" ht="15" customHeight="1" outlineLevel="1">
      <c r="A66" s="15" t="str">
        <f>'Master Data'!A61</f>
        <v>STRAIGHT LINE FOOD PRODUCTS PRIVATE LIMITEDROZ36961</v>
      </c>
      <c r="B66" s="15" t="str">
        <f>'Master Data'!B61</f>
        <v>STR</v>
      </c>
      <c r="C66" s="15" t="str">
        <f>'Master Data'!C61</f>
        <v>STRROZ36961</v>
      </c>
      <c r="D66" s="15" t="str">
        <f>'Master Data'!D61</f>
        <v>STRAIGHT LINE FOOD PRODUCTS PRIVATE LIMITED</v>
      </c>
      <c r="E66" s="15" t="str">
        <f>'Master Data'!E61</f>
        <v>Asansol, West Bengal</v>
      </c>
      <c r="F66" s="15" t="str">
        <f>'Master Data'!F61</f>
        <v>Biscuits</v>
      </c>
      <c r="G66" s="15" t="str">
        <f>'Master Data'!G61</f>
        <v>ROZ36961</v>
      </c>
      <c r="H66" s="15" t="str">
        <f>'Master Data'!H61</f>
        <v>Samuh Butter Kalonji Bliss 65g</v>
      </c>
      <c r="I66" s="23">
        <f>'Master Data'!I61</f>
        <v>10</v>
      </c>
      <c r="J66" s="23">
        <f>'Master Data'!J61</f>
        <v>65</v>
      </c>
      <c r="K66" s="23">
        <f>'Master Data'!K61</f>
        <v>72</v>
      </c>
      <c r="L66" s="24">
        <f>'Master Data'!L61</f>
        <v>0</v>
      </c>
      <c r="M66" s="23">
        <f>'Master Data'!M61</f>
        <v>0</v>
      </c>
      <c r="N66" s="23">
        <f>'Master Data'!N61</f>
        <v>0</v>
      </c>
      <c r="O66" s="23">
        <f>'Master Data'!O61</f>
        <v>0</v>
      </c>
      <c r="P66" s="23">
        <f>'Master Data'!P61</f>
        <v>0</v>
      </c>
      <c r="Q66" s="23">
        <f>'Master Data'!Q61</f>
        <v>0</v>
      </c>
      <c r="R66" s="23">
        <f>'Master Data'!R61</f>
        <v>0</v>
      </c>
      <c r="S66" s="23">
        <f>'Master Data'!S61</f>
        <v>0</v>
      </c>
      <c r="T66" s="23">
        <f>'Master Data'!T61</f>
        <v>0</v>
      </c>
      <c r="U66" s="23">
        <f>'Master Data'!U61</f>
        <v>0</v>
      </c>
      <c r="V66" s="23">
        <f>'Master Data'!V61</f>
        <v>0</v>
      </c>
      <c r="W66" s="23">
        <f>'Master Data'!W61</f>
        <v>0</v>
      </c>
      <c r="X66" s="23">
        <f>'Master Data'!X61</f>
        <v>0</v>
      </c>
      <c r="Y66" s="23">
        <f>'Master Data'!Y61</f>
        <v>0</v>
      </c>
      <c r="Z66" s="23">
        <f>'Master Data'!Z61</f>
        <v>0</v>
      </c>
      <c r="AA66" s="23">
        <f>'Master Data'!AA61</f>
        <v>0</v>
      </c>
      <c r="AB66" s="23">
        <f>'Master Data'!AB61</f>
        <v>0</v>
      </c>
      <c r="AC66" s="23">
        <f>'Master Data'!AC61</f>
        <v>0</v>
      </c>
      <c r="AD66" s="23">
        <f>'Master Data'!AD61</f>
        <v>0</v>
      </c>
      <c r="AE66" s="23">
        <f>'Master Data'!AE61</f>
        <v>0</v>
      </c>
      <c r="AF66" s="23">
        <f>'Master Data'!AF61</f>
        <v>0</v>
      </c>
      <c r="AG66" s="23">
        <f>'Master Data'!AG61</f>
        <v>0</v>
      </c>
      <c r="AH66" s="23">
        <f>'Master Data'!AH61</f>
        <v>0</v>
      </c>
      <c r="AI66" s="23">
        <f>'Master Data'!AI61</f>
        <v>0</v>
      </c>
      <c r="AJ66" s="23">
        <f>'Master Data'!AJ61</f>
        <v>0</v>
      </c>
      <c r="AK66" s="23">
        <f>'Master Data'!AK61</f>
        <v>0</v>
      </c>
      <c r="AL66" s="23">
        <f>'Master Data'!AL61</f>
        <v>0</v>
      </c>
      <c r="AM66" s="23">
        <f>'Master Data'!AM61</f>
        <v>0</v>
      </c>
      <c r="AN66" s="23">
        <f>'Master Data'!AN61</f>
        <v>0</v>
      </c>
      <c r="AO66" s="23">
        <f>'Master Data'!AO61</f>
        <v>0</v>
      </c>
      <c r="AP66" s="23">
        <f>'Master Data'!AP61</f>
        <v>0</v>
      </c>
      <c r="AQ66" s="23">
        <f t="shared" si="11"/>
        <v>0</v>
      </c>
      <c r="AR66" s="16">
        <f t="shared" si="12"/>
        <v>0</v>
      </c>
      <c r="AS66" s="17">
        <f t="shared" si="9"/>
        <v>0</v>
      </c>
      <c r="AT66" s="16">
        <f t="shared" si="13"/>
        <v>0</v>
      </c>
    </row>
    <row r="67" spans="1:46" ht="15" customHeight="1" outlineLevel="1">
      <c r="A67" s="15" t="str">
        <f>'Master Data'!A62</f>
        <v>STRAIGHT LINE FOOD PRODUCTS PRIVATE LIMITEDROZ23760</v>
      </c>
      <c r="B67" s="15" t="str">
        <f>'Master Data'!B62</f>
        <v>STR</v>
      </c>
      <c r="C67" s="15" t="str">
        <f>'Master Data'!C62</f>
        <v>STRROZ23760</v>
      </c>
      <c r="D67" s="15" t="str">
        <f>'Master Data'!D62</f>
        <v>STRAIGHT LINE FOOD PRODUCTS PRIVATE LIMITED</v>
      </c>
      <c r="E67" s="15" t="str">
        <f>'Master Data'!E62</f>
        <v>Asansol, West Bengal</v>
      </c>
      <c r="F67" s="15" t="str">
        <f>'Master Data'!F62</f>
        <v>Rusk</v>
      </c>
      <c r="G67" s="15" t="str">
        <f>'Master Data'!G62</f>
        <v>ROZ23760</v>
      </c>
      <c r="H67" s="15" t="str">
        <f>'Master Data'!H62</f>
        <v>Samuh Elaichi Rusk 130 g</v>
      </c>
      <c r="I67" s="23">
        <f>'Master Data'!I62</f>
        <v>20</v>
      </c>
      <c r="J67" s="23">
        <f>'Master Data'!J62</f>
        <v>130</v>
      </c>
      <c r="K67" s="23">
        <f>'Master Data'!K62</f>
        <v>24</v>
      </c>
      <c r="L67" s="24">
        <f>'Master Data'!L62</f>
        <v>0</v>
      </c>
      <c r="M67" s="23">
        <f>'Master Data'!M62</f>
        <v>0</v>
      </c>
      <c r="N67" s="23">
        <f>'Master Data'!N62</f>
        <v>0</v>
      </c>
      <c r="O67" s="23">
        <f>'Master Data'!O62</f>
        <v>0</v>
      </c>
      <c r="P67" s="23">
        <f>'Master Data'!P62</f>
        <v>0</v>
      </c>
      <c r="Q67" s="23">
        <f>'Master Data'!Q62</f>
        <v>0</v>
      </c>
      <c r="R67" s="23">
        <f>'Master Data'!R62</f>
        <v>0</v>
      </c>
      <c r="S67" s="23">
        <f>'Master Data'!S62</f>
        <v>0</v>
      </c>
      <c r="T67" s="23">
        <f>'Master Data'!T62</f>
        <v>0</v>
      </c>
      <c r="U67" s="23">
        <f>'Master Data'!U62</f>
        <v>0</v>
      </c>
      <c r="V67" s="23">
        <f>'Master Data'!V62</f>
        <v>0</v>
      </c>
      <c r="W67" s="23">
        <f>'Master Data'!W62</f>
        <v>0</v>
      </c>
      <c r="X67" s="23">
        <f>'Master Data'!X62</f>
        <v>0</v>
      </c>
      <c r="Y67" s="23">
        <f>'Master Data'!Y62</f>
        <v>0</v>
      </c>
      <c r="Z67" s="23">
        <f>'Master Data'!Z62</f>
        <v>0</v>
      </c>
      <c r="AA67" s="23">
        <f>'Master Data'!AA62</f>
        <v>0</v>
      </c>
      <c r="AB67" s="23">
        <f>'Master Data'!AB62</f>
        <v>0</v>
      </c>
      <c r="AC67" s="23">
        <f>'Master Data'!AC62</f>
        <v>0</v>
      </c>
      <c r="AD67" s="23">
        <f>'Master Data'!AD62</f>
        <v>0</v>
      </c>
      <c r="AE67" s="23">
        <f>'Master Data'!AE62</f>
        <v>0</v>
      </c>
      <c r="AF67" s="23">
        <f>'Master Data'!AF62</f>
        <v>0</v>
      </c>
      <c r="AG67" s="23">
        <f>'Master Data'!AG62</f>
        <v>0</v>
      </c>
      <c r="AH67" s="23">
        <f>'Master Data'!AH62</f>
        <v>0</v>
      </c>
      <c r="AI67" s="23">
        <f>'Master Data'!AI62</f>
        <v>0</v>
      </c>
      <c r="AJ67" s="23">
        <f>'Master Data'!AJ62</f>
        <v>0</v>
      </c>
      <c r="AK67" s="23">
        <f>'Master Data'!AK62</f>
        <v>0</v>
      </c>
      <c r="AL67" s="23">
        <f>'Master Data'!AL62</f>
        <v>0</v>
      </c>
      <c r="AM67" s="23">
        <f>'Master Data'!AM62</f>
        <v>0</v>
      </c>
      <c r="AN67" s="23">
        <f>'Master Data'!AN62</f>
        <v>0</v>
      </c>
      <c r="AO67" s="23">
        <f>'Master Data'!AO62</f>
        <v>0</v>
      </c>
      <c r="AP67" s="23">
        <f>'Master Data'!AP62</f>
        <v>0</v>
      </c>
      <c r="AQ67" s="23">
        <f t="shared" si="11"/>
        <v>0</v>
      </c>
      <c r="AR67" s="16">
        <f t="shared" si="12"/>
        <v>0</v>
      </c>
      <c r="AS67" s="17">
        <f t="shared" si="9"/>
        <v>0</v>
      </c>
      <c r="AT67" s="16">
        <f t="shared" si="13"/>
        <v>0</v>
      </c>
    </row>
    <row r="68" spans="1:46" ht="15" customHeight="1" outlineLevel="1">
      <c r="A68" s="15" t="str">
        <f>'Master Data'!A63</f>
        <v>STRAIGHT LINE FOOD PRODUCTS PRIVATE LIMITEDROZ23759</v>
      </c>
      <c r="B68" s="15" t="str">
        <f>'Master Data'!B63</f>
        <v>STR</v>
      </c>
      <c r="C68" s="15" t="str">
        <f>'Master Data'!C63</f>
        <v>STRROZ23759</v>
      </c>
      <c r="D68" s="15" t="str">
        <f>'Master Data'!D63</f>
        <v>STRAIGHT LINE FOOD PRODUCTS PRIVATE LIMITED</v>
      </c>
      <c r="E68" s="15" t="str">
        <f>'Master Data'!E63</f>
        <v>Asansol, West Bengal</v>
      </c>
      <c r="F68" s="15" t="str">
        <f>'Master Data'!F63</f>
        <v>Rusk</v>
      </c>
      <c r="G68" s="15" t="str">
        <f>'Master Data'!G63</f>
        <v>ROZ23759</v>
      </c>
      <c r="H68" s="15" t="str">
        <f>'Master Data'!H63</f>
        <v>Samuh Elaichi Rusk 65 g</v>
      </c>
      <c r="I68" s="23">
        <f>'Master Data'!I63</f>
        <v>10</v>
      </c>
      <c r="J68" s="23">
        <f>'Master Data'!J63</f>
        <v>65</v>
      </c>
      <c r="K68" s="23">
        <f>'Master Data'!K63</f>
        <v>24</v>
      </c>
      <c r="L68" s="24">
        <f>'Master Data'!L63</f>
        <v>0</v>
      </c>
      <c r="M68" s="23">
        <f>'Master Data'!M63</f>
        <v>0</v>
      </c>
      <c r="N68" s="23">
        <f>'Master Data'!N63</f>
        <v>0</v>
      </c>
      <c r="O68" s="23">
        <f>'Master Data'!O63</f>
        <v>0</v>
      </c>
      <c r="P68" s="23">
        <f>'Master Data'!P63</f>
        <v>0</v>
      </c>
      <c r="Q68" s="23">
        <f>'Master Data'!Q63</f>
        <v>0</v>
      </c>
      <c r="R68" s="23">
        <f>'Master Data'!R63</f>
        <v>0</v>
      </c>
      <c r="S68" s="23">
        <f>'Master Data'!S63</f>
        <v>0</v>
      </c>
      <c r="T68" s="23">
        <f>'Master Data'!T63</f>
        <v>0</v>
      </c>
      <c r="U68" s="23">
        <f>'Master Data'!U63</f>
        <v>0</v>
      </c>
      <c r="V68" s="23">
        <f>'Master Data'!V63</f>
        <v>0</v>
      </c>
      <c r="W68" s="23">
        <f>'Master Data'!W63</f>
        <v>0</v>
      </c>
      <c r="X68" s="23">
        <f>'Master Data'!X63</f>
        <v>0</v>
      </c>
      <c r="Y68" s="23">
        <f>'Master Data'!Y63</f>
        <v>0</v>
      </c>
      <c r="Z68" s="23">
        <f>'Master Data'!Z63</f>
        <v>0</v>
      </c>
      <c r="AA68" s="23">
        <f>'Master Data'!AA63</f>
        <v>0</v>
      </c>
      <c r="AB68" s="23">
        <f>'Master Data'!AB63</f>
        <v>0</v>
      </c>
      <c r="AC68" s="23">
        <f>'Master Data'!AC63</f>
        <v>0</v>
      </c>
      <c r="AD68" s="23">
        <f>'Master Data'!AD63</f>
        <v>0</v>
      </c>
      <c r="AE68" s="23">
        <f>'Master Data'!AE63</f>
        <v>0</v>
      </c>
      <c r="AF68" s="23">
        <f>'Master Data'!AF63</f>
        <v>0</v>
      </c>
      <c r="AG68" s="23">
        <f>'Master Data'!AG63</f>
        <v>0</v>
      </c>
      <c r="AH68" s="23">
        <f>'Master Data'!AH63</f>
        <v>0</v>
      </c>
      <c r="AI68" s="23">
        <f>'Master Data'!AI63</f>
        <v>0</v>
      </c>
      <c r="AJ68" s="23">
        <f>'Master Data'!AJ63</f>
        <v>0</v>
      </c>
      <c r="AK68" s="23">
        <f>'Master Data'!AK63</f>
        <v>0</v>
      </c>
      <c r="AL68" s="23">
        <f>'Master Data'!AL63</f>
        <v>0</v>
      </c>
      <c r="AM68" s="23">
        <f>'Master Data'!AM63</f>
        <v>0</v>
      </c>
      <c r="AN68" s="23">
        <f>'Master Data'!AN63</f>
        <v>0</v>
      </c>
      <c r="AO68" s="23">
        <f>'Master Data'!AO63</f>
        <v>0</v>
      </c>
      <c r="AP68" s="23">
        <f>'Master Data'!AP63</f>
        <v>0</v>
      </c>
      <c r="AQ68" s="23">
        <f t="shared" si="11"/>
        <v>0</v>
      </c>
      <c r="AR68" s="16">
        <f t="shared" si="12"/>
        <v>0</v>
      </c>
      <c r="AS68" s="17">
        <f t="shared" si="9"/>
        <v>0</v>
      </c>
      <c r="AT68" s="16">
        <f t="shared" si="13"/>
        <v>0</v>
      </c>
    </row>
    <row r="69" spans="1:46" ht="15" customHeight="1" outlineLevel="1">
      <c r="A69" s="15" t="str">
        <f>'Master Data'!A64</f>
        <v>STRAIGHT LINE FOOD PRODUCTS PRIVATE LIMITEDROZ50020</v>
      </c>
      <c r="B69" s="15" t="str">
        <f>'Master Data'!B64</f>
        <v>STR</v>
      </c>
      <c r="C69" s="15" t="str">
        <f>'Master Data'!C64</f>
        <v>STRROZ50020</v>
      </c>
      <c r="D69" s="15" t="str">
        <f>'Master Data'!D64</f>
        <v>STRAIGHT LINE FOOD PRODUCTS PRIVATE LIMITED</v>
      </c>
      <c r="E69" s="15" t="str">
        <f>'Master Data'!E64</f>
        <v>Asansol, West Bengal</v>
      </c>
      <c r="F69" s="15" t="str">
        <f>'Master Data'!F64</f>
        <v>Biscuits</v>
      </c>
      <c r="G69" s="15" t="str">
        <f>'Master Data'!G64</f>
        <v>ROZ50020</v>
      </c>
      <c r="H69" s="15" t="str">
        <f>'Master Data'!H64</f>
        <v xml:space="preserve">Samuh Marie Biscuit 35 g	</v>
      </c>
      <c r="I69" s="23">
        <f>'Master Data'!I64</f>
        <v>5</v>
      </c>
      <c r="J69" s="23">
        <f>'Master Data'!J64</f>
        <v>35</v>
      </c>
      <c r="K69" s="23">
        <f>'Master Data'!K64</f>
        <v>144</v>
      </c>
      <c r="L69" s="24">
        <f>'Master Data'!L64</f>
        <v>0</v>
      </c>
      <c r="M69" s="23">
        <f>'Master Data'!M64</f>
        <v>0</v>
      </c>
      <c r="N69" s="23">
        <f>'Master Data'!N64</f>
        <v>0</v>
      </c>
      <c r="O69" s="23">
        <f>'Master Data'!O64</f>
        <v>0</v>
      </c>
      <c r="P69" s="23">
        <f>'Master Data'!P64</f>
        <v>0</v>
      </c>
      <c r="Q69" s="23">
        <f>'Master Data'!Q64</f>
        <v>0</v>
      </c>
      <c r="R69" s="23">
        <f>'Master Data'!R64</f>
        <v>0</v>
      </c>
      <c r="S69" s="23">
        <f>'Master Data'!S64</f>
        <v>0</v>
      </c>
      <c r="T69" s="23">
        <f>'Master Data'!T64</f>
        <v>0</v>
      </c>
      <c r="U69" s="23">
        <f>'Master Data'!U64</f>
        <v>0</v>
      </c>
      <c r="V69" s="23">
        <f>'Master Data'!V64</f>
        <v>0</v>
      </c>
      <c r="W69" s="23">
        <f>'Master Data'!W64</f>
        <v>0</v>
      </c>
      <c r="X69" s="23">
        <f>'Master Data'!X64</f>
        <v>0</v>
      </c>
      <c r="Y69" s="23">
        <f>'Master Data'!Y64</f>
        <v>0</v>
      </c>
      <c r="Z69" s="23">
        <f>'Master Data'!Z64</f>
        <v>0</v>
      </c>
      <c r="AA69" s="23">
        <f>'Master Data'!AA64</f>
        <v>0</v>
      </c>
      <c r="AB69" s="23">
        <f>'Master Data'!AB64</f>
        <v>0</v>
      </c>
      <c r="AC69" s="23">
        <f>'Master Data'!AC64</f>
        <v>0</v>
      </c>
      <c r="AD69" s="23">
        <f>'Master Data'!AD64</f>
        <v>0</v>
      </c>
      <c r="AE69" s="23">
        <f>'Master Data'!AE64</f>
        <v>0</v>
      </c>
      <c r="AF69" s="23">
        <f>'Master Data'!AF64</f>
        <v>0</v>
      </c>
      <c r="AG69" s="23">
        <f>'Master Data'!AG64</f>
        <v>0</v>
      </c>
      <c r="AH69" s="23">
        <f>'Master Data'!AH64</f>
        <v>0</v>
      </c>
      <c r="AI69" s="23">
        <f>'Master Data'!AI64</f>
        <v>0</v>
      </c>
      <c r="AJ69" s="23">
        <f>'Master Data'!AJ64</f>
        <v>0</v>
      </c>
      <c r="AK69" s="23">
        <f>'Master Data'!AK64</f>
        <v>0</v>
      </c>
      <c r="AL69" s="23">
        <f>'Master Data'!AL64</f>
        <v>0</v>
      </c>
      <c r="AM69" s="23">
        <f>'Master Data'!AM64</f>
        <v>0</v>
      </c>
      <c r="AN69" s="23">
        <f>'Master Data'!AN64</f>
        <v>0</v>
      </c>
      <c r="AO69" s="23">
        <f>'Master Data'!AO64</f>
        <v>0</v>
      </c>
      <c r="AP69" s="23">
        <f>'Master Data'!AP64</f>
        <v>0</v>
      </c>
      <c r="AQ69" s="23">
        <f t="shared" si="11"/>
        <v>0</v>
      </c>
      <c r="AR69" s="16">
        <f t="shared" si="12"/>
        <v>0</v>
      </c>
      <c r="AS69" s="17">
        <f t="shared" ref="AS69:AS100" si="14">IFERROR(AR69/L69,0)</f>
        <v>0</v>
      </c>
      <c r="AT69" s="16">
        <f t="shared" si="13"/>
        <v>0</v>
      </c>
    </row>
    <row r="70" spans="1:46" ht="15" customHeight="1" outlineLevel="1">
      <c r="A70" s="15" t="str">
        <f>'Master Data'!A65</f>
        <v>STRAIGHT LINE FOOD PRODUCTS PRIVATE LIMITED1</v>
      </c>
      <c r="B70" s="15" t="str">
        <f>'Master Data'!B65</f>
        <v>STR</v>
      </c>
      <c r="C70" s="15" t="str">
        <f>'Master Data'!C65</f>
        <v>STR1</v>
      </c>
      <c r="D70" s="15" t="str">
        <f>'Master Data'!D65</f>
        <v>STRAIGHT LINE FOOD PRODUCTS PRIVATE LIMITED</v>
      </c>
      <c r="E70" s="15" t="str">
        <f>'Master Data'!E65</f>
        <v>Asansol, West Bengal</v>
      </c>
      <c r="F70" s="15" t="str">
        <f>'Master Data'!F65</f>
        <v>Biscuits</v>
      </c>
      <c r="G70" s="15">
        <f>'Master Data'!G65</f>
        <v>1</v>
      </c>
      <c r="H70" s="15" t="str">
        <f>'Master Data'!H65</f>
        <v>Marie 30 Rs</v>
      </c>
      <c r="I70" s="15">
        <f>'Master Data'!I65</f>
        <v>30</v>
      </c>
      <c r="J70" s="15">
        <f>'Master Data'!J65</f>
        <v>140</v>
      </c>
      <c r="K70" s="15">
        <f>'Master Data'!K65</f>
        <v>40</v>
      </c>
      <c r="L70" s="24">
        <f>'Master Data'!L65</f>
        <v>0</v>
      </c>
      <c r="M70" s="23">
        <f>'Master Data'!M65</f>
        <v>0</v>
      </c>
      <c r="N70" s="23">
        <f>'Master Data'!N65</f>
        <v>0</v>
      </c>
      <c r="O70" s="23">
        <f>'Master Data'!O65</f>
        <v>0</v>
      </c>
      <c r="P70" s="23">
        <f>'Master Data'!P65</f>
        <v>0</v>
      </c>
      <c r="Q70" s="23">
        <f>'Master Data'!Q65</f>
        <v>0</v>
      </c>
      <c r="R70" s="23">
        <f>'Master Data'!R65</f>
        <v>0</v>
      </c>
      <c r="S70" s="23">
        <f>'Master Data'!S65</f>
        <v>0</v>
      </c>
      <c r="T70" s="23">
        <f>'Master Data'!T65</f>
        <v>0</v>
      </c>
      <c r="U70" s="23">
        <f>'Master Data'!U65</f>
        <v>0</v>
      </c>
      <c r="V70" s="23">
        <f>'Master Data'!V65</f>
        <v>0</v>
      </c>
      <c r="W70" s="23">
        <f>'Master Data'!W65</f>
        <v>0</v>
      </c>
      <c r="X70" s="23">
        <f>'Master Data'!X65</f>
        <v>0</v>
      </c>
      <c r="Y70" s="23">
        <f>'Master Data'!Y65</f>
        <v>0</v>
      </c>
      <c r="Z70" s="23">
        <f>'Master Data'!Z65</f>
        <v>0</v>
      </c>
      <c r="AA70" s="23">
        <f>'Master Data'!AA65</f>
        <v>0</v>
      </c>
      <c r="AB70" s="23">
        <f>'Master Data'!AB65</f>
        <v>0</v>
      </c>
      <c r="AC70" s="23">
        <f>'Master Data'!AC65</f>
        <v>0</v>
      </c>
      <c r="AD70" s="23">
        <f>'Master Data'!AD65</f>
        <v>0</v>
      </c>
      <c r="AE70" s="23">
        <f>'Master Data'!AE65</f>
        <v>0</v>
      </c>
      <c r="AF70" s="23">
        <f>'Master Data'!AF65</f>
        <v>0</v>
      </c>
      <c r="AG70" s="23">
        <f>'Master Data'!AG65</f>
        <v>0</v>
      </c>
      <c r="AH70" s="23">
        <f>'Master Data'!AH65</f>
        <v>0</v>
      </c>
      <c r="AI70" s="23">
        <f>'Master Data'!AI65</f>
        <v>0</v>
      </c>
      <c r="AJ70" s="23">
        <f>'Master Data'!AJ65</f>
        <v>0</v>
      </c>
      <c r="AK70" s="23">
        <f>'Master Data'!AK65</f>
        <v>0</v>
      </c>
      <c r="AL70" s="23">
        <f>'Master Data'!AL65</f>
        <v>0</v>
      </c>
      <c r="AM70" s="23">
        <f>'Master Data'!AM65</f>
        <v>0</v>
      </c>
      <c r="AN70" s="23">
        <f>'Master Data'!AN65</f>
        <v>0</v>
      </c>
      <c r="AO70" s="23">
        <f>'Master Data'!AO65</f>
        <v>0</v>
      </c>
      <c r="AP70" s="23">
        <f>'Master Data'!AP65</f>
        <v>0</v>
      </c>
      <c r="AQ70" s="23">
        <f t="shared" si="11"/>
        <v>0</v>
      </c>
      <c r="AR70" s="16">
        <f t="shared" si="12"/>
        <v>0</v>
      </c>
      <c r="AS70" s="17">
        <f t="shared" si="14"/>
        <v>0</v>
      </c>
      <c r="AT70" s="16">
        <f t="shared" si="13"/>
        <v>0</v>
      </c>
    </row>
    <row r="71" spans="1:46" ht="15" customHeight="1">
      <c r="A71" s="69" t="s">
        <v>53</v>
      </c>
      <c r="B71" s="69"/>
      <c r="C71" s="69"/>
      <c r="D71" s="2"/>
      <c r="E71" s="2"/>
      <c r="F71" s="2"/>
      <c r="G71" s="2"/>
      <c r="H71" s="2"/>
      <c r="I71" s="2"/>
      <c r="J71" s="2"/>
      <c r="K71" s="2"/>
      <c r="L71" s="19">
        <f t="shared" ref="L71:AR71" si="15">SUM(L72:L92)</f>
        <v>0</v>
      </c>
      <c r="M71" s="20">
        <f t="shared" si="15"/>
        <v>0</v>
      </c>
      <c r="N71" s="20">
        <f t="shared" si="15"/>
        <v>0</v>
      </c>
      <c r="O71" s="20">
        <f t="shared" si="15"/>
        <v>0</v>
      </c>
      <c r="P71" s="20">
        <f t="shared" si="15"/>
        <v>0</v>
      </c>
      <c r="Q71" s="20">
        <f t="shared" si="15"/>
        <v>0</v>
      </c>
      <c r="R71" s="20">
        <f t="shared" si="15"/>
        <v>0</v>
      </c>
      <c r="S71" s="20">
        <f t="shared" si="15"/>
        <v>0</v>
      </c>
      <c r="T71" s="20">
        <f t="shared" si="15"/>
        <v>0</v>
      </c>
      <c r="U71" s="20">
        <f t="shared" si="15"/>
        <v>0</v>
      </c>
      <c r="V71" s="20">
        <f t="shared" si="15"/>
        <v>0</v>
      </c>
      <c r="W71" s="20">
        <f t="shared" si="15"/>
        <v>0</v>
      </c>
      <c r="X71" s="20">
        <f t="shared" si="15"/>
        <v>0</v>
      </c>
      <c r="Y71" s="20">
        <f t="shared" si="15"/>
        <v>0</v>
      </c>
      <c r="Z71" s="20">
        <f t="shared" si="15"/>
        <v>0</v>
      </c>
      <c r="AA71" s="20">
        <f t="shared" si="15"/>
        <v>0</v>
      </c>
      <c r="AB71" s="20">
        <f t="shared" si="15"/>
        <v>0</v>
      </c>
      <c r="AC71" s="20">
        <f t="shared" si="15"/>
        <v>0</v>
      </c>
      <c r="AD71" s="20">
        <f t="shared" si="15"/>
        <v>0</v>
      </c>
      <c r="AE71" s="20">
        <f t="shared" si="15"/>
        <v>0</v>
      </c>
      <c r="AF71" s="20">
        <f t="shared" si="15"/>
        <v>0</v>
      </c>
      <c r="AG71" s="20">
        <f t="shared" si="15"/>
        <v>0</v>
      </c>
      <c r="AH71" s="20">
        <f t="shared" si="15"/>
        <v>0</v>
      </c>
      <c r="AI71" s="20">
        <f t="shared" si="15"/>
        <v>0</v>
      </c>
      <c r="AJ71" s="20">
        <f t="shared" si="15"/>
        <v>0</v>
      </c>
      <c r="AK71" s="20">
        <f t="shared" si="15"/>
        <v>0</v>
      </c>
      <c r="AL71" s="20">
        <f t="shared" si="15"/>
        <v>0</v>
      </c>
      <c r="AM71" s="20">
        <f t="shared" si="15"/>
        <v>0</v>
      </c>
      <c r="AN71" s="20">
        <f t="shared" si="15"/>
        <v>0</v>
      </c>
      <c r="AO71" s="20">
        <f t="shared" si="15"/>
        <v>0</v>
      </c>
      <c r="AP71" s="20">
        <f t="shared" si="15"/>
        <v>0</v>
      </c>
      <c r="AQ71" s="20">
        <f t="shared" si="15"/>
        <v>0</v>
      </c>
      <c r="AR71" s="21">
        <f t="shared" si="15"/>
        <v>0</v>
      </c>
      <c r="AS71" s="22">
        <f t="shared" si="14"/>
        <v>0</v>
      </c>
      <c r="AT71" s="21">
        <f>SUM(AT72:AT92)</f>
        <v>0</v>
      </c>
    </row>
    <row r="72" spans="1:46" ht="15" customHeight="1" outlineLevel="1">
      <c r="A72" s="15" t="str">
        <f>'Master Data'!A66</f>
        <v>RATTAN OIL MILLSROZ23741</v>
      </c>
      <c r="B72" s="15" t="str">
        <f>'Master Data'!B66</f>
        <v>RT</v>
      </c>
      <c r="C72" s="15" t="str">
        <f>'Master Data'!C66</f>
        <v>RTROZ23741</v>
      </c>
      <c r="D72" s="15" t="str">
        <f>'Master Data'!D66</f>
        <v>RATTAN OIL MILLS</v>
      </c>
      <c r="E72" s="15" t="str">
        <f>'Master Data'!E66</f>
        <v>Kathua, Jammu</v>
      </c>
      <c r="F72" s="15" t="str">
        <f>'Master Data'!F66</f>
        <v>Biscuits</v>
      </c>
      <c r="G72" s="15" t="str">
        <f>'Master Data'!G66</f>
        <v>ROZ23741</v>
      </c>
      <c r="H72" s="15" t="str">
        <f>'Master Data'!H66</f>
        <v>Samuh Coconut Cookies Biscuit 33 g</v>
      </c>
      <c r="I72" s="23">
        <f>'Master Data'!I66</f>
        <v>5</v>
      </c>
      <c r="J72" s="23">
        <f>'Master Data'!J66</f>
        <v>33</v>
      </c>
      <c r="K72" s="23">
        <f>'Master Data'!K66</f>
        <v>144</v>
      </c>
      <c r="L72" s="24">
        <f>'Master Data'!L66</f>
        <v>0</v>
      </c>
      <c r="M72" s="23">
        <f>'Master Data'!M66</f>
        <v>0</v>
      </c>
      <c r="N72" s="23">
        <f>'Master Data'!N66</f>
        <v>0</v>
      </c>
      <c r="O72" s="23">
        <f>'Master Data'!O66</f>
        <v>0</v>
      </c>
      <c r="P72" s="23">
        <f>'Master Data'!P66</f>
        <v>0</v>
      </c>
      <c r="Q72" s="23">
        <f>'Master Data'!Q66</f>
        <v>0</v>
      </c>
      <c r="R72" s="23">
        <f>'Master Data'!R66</f>
        <v>0</v>
      </c>
      <c r="S72" s="23">
        <f>'Master Data'!S66</f>
        <v>0</v>
      </c>
      <c r="T72" s="23">
        <f>'Master Data'!T66</f>
        <v>0</v>
      </c>
      <c r="U72" s="23">
        <f>'Master Data'!U66</f>
        <v>0</v>
      </c>
      <c r="V72" s="23">
        <f>'Master Data'!V66</f>
        <v>0</v>
      </c>
      <c r="W72" s="23">
        <f>'Master Data'!W66</f>
        <v>0</v>
      </c>
      <c r="X72" s="23">
        <f>'Master Data'!X66</f>
        <v>0</v>
      </c>
      <c r="Y72" s="23">
        <f>'Master Data'!Y66</f>
        <v>0</v>
      </c>
      <c r="Z72" s="23">
        <f>'Master Data'!Z66</f>
        <v>0</v>
      </c>
      <c r="AA72" s="23">
        <f>'Master Data'!AA66</f>
        <v>0</v>
      </c>
      <c r="AB72" s="23">
        <f>'Master Data'!AB66</f>
        <v>0</v>
      </c>
      <c r="AC72" s="23">
        <f>'Master Data'!AC66</f>
        <v>0</v>
      </c>
      <c r="AD72" s="23">
        <f>'Master Data'!AD66</f>
        <v>0</v>
      </c>
      <c r="AE72" s="23">
        <f>'Master Data'!AE66</f>
        <v>0</v>
      </c>
      <c r="AF72" s="23">
        <f>'Master Data'!AF66</f>
        <v>0</v>
      </c>
      <c r="AG72" s="23">
        <f>'Master Data'!AG66</f>
        <v>0</v>
      </c>
      <c r="AH72" s="23">
        <f>'Master Data'!AH66</f>
        <v>0</v>
      </c>
      <c r="AI72" s="23">
        <f>'Master Data'!AI66</f>
        <v>0</v>
      </c>
      <c r="AJ72" s="23">
        <f>'Master Data'!AJ66</f>
        <v>0</v>
      </c>
      <c r="AK72" s="23">
        <f>'Master Data'!AK66</f>
        <v>0</v>
      </c>
      <c r="AL72" s="23">
        <f>'Master Data'!AL66</f>
        <v>0</v>
      </c>
      <c r="AM72" s="23">
        <f>'Master Data'!AM66</f>
        <v>0</v>
      </c>
      <c r="AN72" s="23">
        <f>'Master Data'!AN66</f>
        <v>0</v>
      </c>
      <c r="AO72" s="23">
        <f>'Master Data'!AO66</f>
        <v>0</v>
      </c>
      <c r="AP72" s="23">
        <f>'Master Data'!AP66</f>
        <v>0</v>
      </c>
      <c r="AQ72" s="23">
        <f t="shared" ref="AQ72:AQ92" si="16">SUM(M72:AP72)</f>
        <v>0</v>
      </c>
      <c r="AR72" s="16">
        <f t="shared" ref="AR72:AR92" si="17">(AQ72*J72*K72)/1000000</f>
        <v>0</v>
      </c>
      <c r="AS72" s="17">
        <f t="shared" si="14"/>
        <v>0</v>
      </c>
      <c r="AT72" s="16">
        <f t="shared" ref="AT72:AT92" si="18">L72-AR72</f>
        <v>0</v>
      </c>
    </row>
    <row r="73" spans="1:46" ht="15" customHeight="1" outlineLevel="1">
      <c r="A73" s="15" t="str">
        <f>'Master Data'!A67</f>
        <v>RATTAN OIL MILLSROZ36957</v>
      </c>
      <c r="B73" s="15" t="str">
        <f>'Master Data'!B67</f>
        <v>RT</v>
      </c>
      <c r="C73" s="15" t="str">
        <f>'Master Data'!C67</f>
        <v>RTROZ36957</v>
      </c>
      <c r="D73" s="15" t="str">
        <f>'Master Data'!D67</f>
        <v>RATTAN OIL MILLS</v>
      </c>
      <c r="E73" s="15" t="str">
        <f>'Master Data'!E67</f>
        <v>Kathua, Jammu</v>
      </c>
      <c r="F73" s="15" t="str">
        <f>'Master Data'!F67</f>
        <v>Biscuits</v>
      </c>
      <c r="G73" s="15" t="str">
        <f>'Master Data'!G67</f>
        <v>ROZ36957</v>
      </c>
      <c r="H73" s="15" t="str">
        <f>'Master Data'!H67</f>
        <v>Samuh Coconut Cookies Biscuit 66g</v>
      </c>
      <c r="I73" s="23">
        <f>'Master Data'!I67</f>
        <v>10</v>
      </c>
      <c r="J73" s="23">
        <f>'Master Data'!J67</f>
        <v>66</v>
      </c>
      <c r="K73" s="23">
        <f>'Master Data'!K67</f>
        <v>60</v>
      </c>
      <c r="L73" s="24">
        <f>'Master Data'!L67</f>
        <v>0</v>
      </c>
      <c r="M73" s="23">
        <f>'Master Data'!M67</f>
        <v>0</v>
      </c>
      <c r="N73" s="23">
        <f>'Master Data'!N67</f>
        <v>0</v>
      </c>
      <c r="O73" s="23">
        <f>'Master Data'!O67</f>
        <v>0</v>
      </c>
      <c r="P73" s="23">
        <f>'Master Data'!P67</f>
        <v>0</v>
      </c>
      <c r="Q73" s="23">
        <f>'Master Data'!Q67</f>
        <v>0</v>
      </c>
      <c r="R73" s="23">
        <f>'Master Data'!R67</f>
        <v>0</v>
      </c>
      <c r="S73" s="23">
        <f>'Master Data'!S67</f>
        <v>0</v>
      </c>
      <c r="T73" s="23">
        <f>'Master Data'!T67</f>
        <v>0</v>
      </c>
      <c r="U73" s="23">
        <f>'Master Data'!U67</f>
        <v>0</v>
      </c>
      <c r="V73" s="23">
        <f>'Master Data'!V67</f>
        <v>0</v>
      </c>
      <c r="W73" s="23">
        <f>'Master Data'!W67</f>
        <v>0</v>
      </c>
      <c r="X73" s="23">
        <f>'Master Data'!X67</f>
        <v>0</v>
      </c>
      <c r="Y73" s="23">
        <f>'Master Data'!Y67</f>
        <v>0</v>
      </c>
      <c r="Z73" s="23">
        <f>'Master Data'!Z67</f>
        <v>0</v>
      </c>
      <c r="AA73" s="23">
        <f>'Master Data'!AA67</f>
        <v>0</v>
      </c>
      <c r="AB73" s="23">
        <f>'Master Data'!AB67</f>
        <v>0</v>
      </c>
      <c r="AC73" s="23">
        <f>'Master Data'!AC67</f>
        <v>0</v>
      </c>
      <c r="AD73" s="23">
        <f>'Master Data'!AD67</f>
        <v>0</v>
      </c>
      <c r="AE73" s="23">
        <f>'Master Data'!AE67</f>
        <v>0</v>
      </c>
      <c r="AF73" s="23">
        <f>'Master Data'!AF67</f>
        <v>0</v>
      </c>
      <c r="AG73" s="23">
        <f>'Master Data'!AG67</f>
        <v>0</v>
      </c>
      <c r="AH73" s="23">
        <f>'Master Data'!AH67</f>
        <v>0</v>
      </c>
      <c r="AI73" s="23">
        <f>'Master Data'!AI67</f>
        <v>0</v>
      </c>
      <c r="AJ73" s="23">
        <f>'Master Data'!AJ67</f>
        <v>0</v>
      </c>
      <c r="AK73" s="23">
        <f>'Master Data'!AK67</f>
        <v>0</v>
      </c>
      <c r="AL73" s="23">
        <f>'Master Data'!AL67</f>
        <v>0</v>
      </c>
      <c r="AM73" s="23">
        <f>'Master Data'!AM67</f>
        <v>0</v>
      </c>
      <c r="AN73" s="23">
        <f>'Master Data'!AN67</f>
        <v>0</v>
      </c>
      <c r="AO73" s="23">
        <f>'Master Data'!AO67</f>
        <v>0</v>
      </c>
      <c r="AP73" s="23">
        <f>'Master Data'!AP67</f>
        <v>0</v>
      </c>
      <c r="AQ73" s="23">
        <f t="shared" si="16"/>
        <v>0</v>
      </c>
      <c r="AR73" s="16">
        <f t="shared" si="17"/>
        <v>0</v>
      </c>
      <c r="AS73" s="17">
        <f t="shared" si="14"/>
        <v>0</v>
      </c>
      <c r="AT73" s="16">
        <f t="shared" si="18"/>
        <v>0</v>
      </c>
    </row>
    <row r="74" spans="1:46" ht="15" customHeight="1" outlineLevel="1">
      <c r="A74" s="15" t="str">
        <f>'Master Data'!A68</f>
        <v>RATTAN OIL MILLSROZ23739</v>
      </c>
      <c r="B74" s="15" t="str">
        <f>'Master Data'!B68</f>
        <v>RT</v>
      </c>
      <c r="C74" s="15" t="str">
        <f>'Master Data'!C68</f>
        <v>RTROZ23739</v>
      </c>
      <c r="D74" s="15" t="str">
        <f>'Master Data'!D68</f>
        <v>RATTAN OIL MILLS</v>
      </c>
      <c r="E74" s="15" t="str">
        <f>'Master Data'!E68</f>
        <v>Kathua, Jammu</v>
      </c>
      <c r="F74" s="15" t="str">
        <f>'Master Data'!F68</f>
        <v>Biscuits</v>
      </c>
      <c r="G74" s="15" t="str">
        <f>'Master Data'!G68</f>
        <v>ROZ23739</v>
      </c>
      <c r="H74" s="15" t="str">
        <f>'Master Data'!H68</f>
        <v>Samuh Beat it! Bite it! Orange Cream Biscuit 33 g</v>
      </c>
      <c r="I74" s="23">
        <f>'Master Data'!I68</f>
        <v>5</v>
      </c>
      <c r="J74" s="23">
        <f>'Master Data'!J68</f>
        <v>33</v>
      </c>
      <c r="K74" s="23">
        <f>'Master Data'!K68</f>
        <v>144</v>
      </c>
      <c r="L74" s="24">
        <f>'Master Data'!L68</f>
        <v>0</v>
      </c>
      <c r="M74" s="23">
        <f>'Master Data'!M68</f>
        <v>0</v>
      </c>
      <c r="N74" s="23">
        <f>'Master Data'!N68</f>
        <v>0</v>
      </c>
      <c r="O74" s="23">
        <f>'Master Data'!O68</f>
        <v>0</v>
      </c>
      <c r="P74" s="23">
        <f>'Master Data'!P68</f>
        <v>0</v>
      </c>
      <c r="Q74" s="23">
        <f>'Master Data'!Q68</f>
        <v>0</v>
      </c>
      <c r="R74" s="23">
        <f>'Master Data'!R68</f>
        <v>0</v>
      </c>
      <c r="S74" s="23">
        <f>'Master Data'!S68</f>
        <v>0</v>
      </c>
      <c r="T74" s="23">
        <f>'Master Data'!T68</f>
        <v>0</v>
      </c>
      <c r="U74" s="23">
        <f>'Master Data'!U68</f>
        <v>0</v>
      </c>
      <c r="V74" s="23">
        <f>'Master Data'!V68</f>
        <v>0</v>
      </c>
      <c r="W74" s="23">
        <f>'Master Data'!W68</f>
        <v>0</v>
      </c>
      <c r="X74" s="23">
        <f>'Master Data'!X68</f>
        <v>0</v>
      </c>
      <c r="Y74" s="23">
        <f>'Master Data'!Y68</f>
        <v>0</v>
      </c>
      <c r="Z74" s="23">
        <f>'Master Data'!Z68</f>
        <v>0</v>
      </c>
      <c r="AA74" s="23">
        <f>'Master Data'!AA68</f>
        <v>0</v>
      </c>
      <c r="AB74" s="23">
        <f>'Master Data'!AB68</f>
        <v>0</v>
      </c>
      <c r="AC74" s="23">
        <f>'Master Data'!AC68</f>
        <v>0</v>
      </c>
      <c r="AD74" s="23">
        <f>'Master Data'!AD68</f>
        <v>0</v>
      </c>
      <c r="AE74" s="23">
        <f>'Master Data'!AE68</f>
        <v>0</v>
      </c>
      <c r="AF74" s="23">
        <f>'Master Data'!AF68</f>
        <v>0</v>
      </c>
      <c r="AG74" s="23">
        <f>'Master Data'!AG68</f>
        <v>0</v>
      </c>
      <c r="AH74" s="23">
        <f>'Master Data'!AH68</f>
        <v>0</v>
      </c>
      <c r="AI74" s="23">
        <f>'Master Data'!AI68</f>
        <v>0</v>
      </c>
      <c r="AJ74" s="23">
        <f>'Master Data'!AJ68</f>
        <v>0</v>
      </c>
      <c r="AK74" s="23">
        <f>'Master Data'!AK68</f>
        <v>0</v>
      </c>
      <c r="AL74" s="23">
        <f>'Master Data'!AL68</f>
        <v>0</v>
      </c>
      <c r="AM74" s="23">
        <f>'Master Data'!AM68</f>
        <v>0</v>
      </c>
      <c r="AN74" s="23">
        <f>'Master Data'!AN68</f>
        <v>0</v>
      </c>
      <c r="AO74" s="23">
        <f>'Master Data'!AO68</f>
        <v>0</v>
      </c>
      <c r="AP74" s="23">
        <f>'Master Data'!AP68</f>
        <v>0</v>
      </c>
      <c r="AQ74" s="23">
        <f t="shared" si="16"/>
        <v>0</v>
      </c>
      <c r="AR74" s="16">
        <f t="shared" si="17"/>
        <v>0</v>
      </c>
      <c r="AS74" s="17">
        <f t="shared" si="14"/>
        <v>0</v>
      </c>
      <c r="AT74" s="16">
        <f t="shared" si="18"/>
        <v>0</v>
      </c>
    </row>
    <row r="75" spans="1:46" ht="15" customHeight="1" outlineLevel="1">
      <c r="A75" s="15" t="str">
        <f>'Master Data'!A69</f>
        <v>RATTAN OIL MILLSROZ36956</v>
      </c>
      <c r="B75" s="15" t="str">
        <f>'Master Data'!B69</f>
        <v>RT</v>
      </c>
      <c r="C75" s="15" t="str">
        <f>'Master Data'!C69</f>
        <v>RTROZ36956</v>
      </c>
      <c r="D75" s="15" t="str">
        <f>'Master Data'!D69</f>
        <v>RATTAN OIL MILLS</v>
      </c>
      <c r="E75" s="15" t="str">
        <f>'Master Data'!E69</f>
        <v>Kathua, Jammu</v>
      </c>
      <c r="F75" s="15" t="str">
        <f>'Master Data'!F69</f>
        <v>Biscuits</v>
      </c>
      <c r="G75" s="15" t="str">
        <f>'Master Data'!G69</f>
        <v>ROZ36956</v>
      </c>
      <c r="H75" s="15" t="str">
        <f>'Master Data'!H69</f>
        <v>Samuh Beat it! Bite it! Orange Cream Biscuit 66 g</v>
      </c>
      <c r="I75" s="23">
        <f>'Master Data'!I69</f>
        <v>10</v>
      </c>
      <c r="J75" s="23">
        <f>'Master Data'!J69</f>
        <v>66</v>
      </c>
      <c r="K75" s="23">
        <f>'Master Data'!K69</f>
        <v>60</v>
      </c>
      <c r="L75" s="24">
        <f>'Master Data'!L69</f>
        <v>0</v>
      </c>
      <c r="M75" s="23">
        <f>'Master Data'!M69</f>
        <v>0</v>
      </c>
      <c r="N75" s="23">
        <f>'Master Data'!N69</f>
        <v>0</v>
      </c>
      <c r="O75" s="23">
        <f>'Master Data'!O69</f>
        <v>0</v>
      </c>
      <c r="P75" s="23">
        <f>'Master Data'!P69</f>
        <v>0</v>
      </c>
      <c r="Q75" s="23">
        <f>'Master Data'!Q69</f>
        <v>0</v>
      </c>
      <c r="R75" s="23">
        <f>'Master Data'!R69</f>
        <v>0</v>
      </c>
      <c r="S75" s="23">
        <f>'Master Data'!S69</f>
        <v>0</v>
      </c>
      <c r="T75" s="23">
        <f>'Master Data'!T69</f>
        <v>0</v>
      </c>
      <c r="U75" s="23">
        <f>'Master Data'!U69</f>
        <v>0</v>
      </c>
      <c r="V75" s="23">
        <f>'Master Data'!V69</f>
        <v>0</v>
      </c>
      <c r="W75" s="23">
        <f>'Master Data'!W69</f>
        <v>0</v>
      </c>
      <c r="X75" s="23">
        <f>'Master Data'!X69</f>
        <v>0</v>
      </c>
      <c r="Y75" s="23">
        <f>'Master Data'!Y69</f>
        <v>0</v>
      </c>
      <c r="Z75" s="23">
        <f>'Master Data'!Z69</f>
        <v>0</v>
      </c>
      <c r="AA75" s="23">
        <f>'Master Data'!AA69</f>
        <v>0</v>
      </c>
      <c r="AB75" s="23">
        <f>'Master Data'!AB69</f>
        <v>0</v>
      </c>
      <c r="AC75" s="23">
        <f>'Master Data'!AC69</f>
        <v>0</v>
      </c>
      <c r="AD75" s="23">
        <f>'Master Data'!AD69</f>
        <v>0</v>
      </c>
      <c r="AE75" s="23">
        <f>'Master Data'!AE69</f>
        <v>0</v>
      </c>
      <c r="AF75" s="23">
        <f>'Master Data'!AF69</f>
        <v>0</v>
      </c>
      <c r="AG75" s="23">
        <f>'Master Data'!AG69</f>
        <v>0</v>
      </c>
      <c r="AH75" s="23">
        <f>'Master Data'!AH69</f>
        <v>0</v>
      </c>
      <c r="AI75" s="23">
        <f>'Master Data'!AI69</f>
        <v>0</v>
      </c>
      <c r="AJ75" s="23">
        <f>'Master Data'!AJ69</f>
        <v>0</v>
      </c>
      <c r="AK75" s="23">
        <f>'Master Data'!AK69</f>
        <v>0</v>
      </c>
      <c r="AL75" s="23">
        <f>'Master Data'!AL69</f>
        <v>0</v>
      </c>
      <c r="AM75" s="23">
        <f>'Master Data'!AM69</f>
        <v>0</v>
      </c>
      <c r="AN75" s="23">
        <f>'Master Data'!AN69</f>
        <v>0</v>
      </c>
      <c r="AO75" s="23">
        <f>'Master Data'!AO69</f>
        <v>0</v>
      </c>
      <c r="AP75" s="23">
        <f>'Master Data'!AP69</f>
        <v>0</v>
      </c>
      <c r="AQ75" s="23">
        <f t="shared" si="16"/>
        <v>0</v>
      </c>
      <c r="AR75" s="16">
        <f t="shared" si="17"/>
        <v>0</v>
      </c>
      <c r="AS75" s="17">
        <f t="shared" si="14"/>
        <v>0</v>
      </c>
      <c r="AT75" s="16">
        <f t="shared" si="18"/>
        <v>0</v>
      </c>
    </row>
    <row r="76" spans="1:46" ht="15" customHeight="1" outlineLevel="1">
      <c r="A76" s="15" t="str">
        <f>'Master Data'!A70</f>
        <v>RATTAN OIL MILLSROZ23738</v>
      </c>
      <c r="B76" s="15" t="str">
        <f>'Master Data'!B70</f>
        <v>RT</v>
      </c>
      <c r="C76" s="15" t="str">
        <f>'Master Data'!C70</f>
        <v>RTROZ23738</v>
      </c>
      <c r="D76" s="15" t="str">
        <f>'Master Data'!D70</f>
        <v>RATTAN OIL MILLS</v>
      </c>
      <c r="E76" s="15" t="str">
        <f>'Master Data'!E70</f>
        <v>Kathua, Jammu</v>
      </c>
      <c r="F76" s="15" t="str">
        <f>'Master Data'!F70</f>
        <v>Biscuits</v>
      </c>
      <c r="G76" s="15" t="str">
        <f>'Master Data'!G70</f>
        <v>ROZ23738</v>
      </c>
      <c r="H76" s="15" t="str">
        <f>'Master Data'!H70</f>
        <v>Samuh Beat it Bite it Chocolate Cream Biscuit 33 g</v>
      </c>
      <c r="I76" s="23">
        <f>'Master Data'!I70</f>
        <v>5</v>
      </c>
      <c r="J76" s="23">
        <f>'Master Data'!J70</f>
        <v>33</v>
      </c>
      <c r="K76" s="23">
        <f>'Master Data'!K70</f>
        <v>144</v>
      </c>
      <c r="L76" s="24">
        <f>'Master Data'!L70</f>
        <v>0</v>
      </c>
      <c r="M76" s="23">
        <f>'Master Data'!M70</f>
        <v>0</v>
      </c>
      <c r="N76" s="23">
        <f>'Master Data'!N70</f>
        <v>0</v>
      </c>
      <c r="O76" s="23">
        <f>'Master Data'!O70</f>
        <v>0</v>
      </c>
      <c r="P76" s="23">
        <f>'Master Data'!P70</f>
        <v>0</v>
      </c>
      <c r="Q76" s="23">
        <f>'Master Data'!Q70</f>
        <v>0</v>
      </c>
      <c r="R76" s="23">
        <f>'Master Data'!R70</f>
        <v>0</v>
      </c>
      <c r="S76" s="23">
        <f>'Master Data'!S70</f>
        <v>0</v>
      </c>
      <c r="T76" s="23">
        <f>'Master Data'!T70</f>
        <v>0</v>
      </c>
      <c r="U76" s="23">
        <f>'Master Data'!U70</f>
        <v>0</v>
      </c>
      <c r="V76" s="23">
        <f>'Master Data'!V70</f>
        <v>0</v>
      </c>
      <c r="W76" s="23">
        <f>'Master Data'!W70</f>
        <v>0</v>
      </c>
      <c r="X76" s="23">
        <f>'Master Data'!X70</f>
        <v>0</v>
      </c>
      <c r="Y76" s="23">
        <f>'Master Data'!Y70</f>
        <v>0</v>
      </c>
      <c r="Z76" s="23">
        <f>'Master Data'!Z70</f>
        <v>0</v>
      </c>
      <c r="AA76" s="23">
        <f>'Master Data'!AA70</f>
        <v>0</v>
      </c>
      <c r="AB76" s="23">
        <f>'Master Data'!AB70</f>
        <v>0</v>
      </c>
      <c r="AC76" s="23">
        <f>'Master Data'!AC70</f>
        <v>0</v>
      </c>
      <c r="AD76" s="23">
        <f>'Master Data'!AD70</f>
        <v>0</v>
      </c>
      <c r="AE76" s="23">
        <f>'Master Data'!AE70</f>
        <v>0</v>
      </c>
      <c r="AF76" s="23">
        <f>'Master Data'!AF70</f>
        <v>0</v>
      </c>
      <c r="AG76" s="23">
        <f>'Master Data'!AG70</f>
        <v>0</v>
      </c>
      <c r="AH76" s="23">
        <f>'Master Data'!AH70</f>
        <v>0</v>
      </c>
      <c r="AI76" s="23">
        <f>'Master Data'!AI70</f>
        <v>0</v>
      </c>
      <c r="AJ76" s="23">
        <f>'Master Data'!AJ70</f>
        <v>0</v>
      </c>
      <c r="AK76" s="23">
        <f>'Master Data'!AK70</f>
        <v>0</v>
      </c>
      <c r="AL76" s="23">
        <f>'Master Data'!AL70</f>
        <v>0</v>
      </c>
      <c r="AM76" s="23">
        <f>'Master Data'!AM70</f>
        <v>0</v>
      </c>
      <c r="AN76" s="23">
        <f>'Master Data'!AN70</f>
        <v>0</v>
      </c>
      <c r="AO76" s="23">
        <f>'Master Data'!AO70</f>
        <v>0</v>
      </c>
      <c r="AP76" s="23">
        <f>'Master Data'!AP70</f>
        <v>0</v>
      </c>
      <c r="AQ76" s="23">
        <f t="shared" si="16"/>
        <v>0</v>
      </c>
      <c r="AR76" s="16">
        <f t="shared" si="17"/>
        <v>0</v>
      </c>
      <c r="AS76" s="17">
        <f t="shared" si="14"/>
        <v>0</v>
      </c>
      <c r="AT76" s="16">
        <f t="shared" si="18"/>
        <v>0</v>
      </c>
    </row>
    <row r="77" spans="1:46" ht="15" customHeight="1" outlineLevel="1">
      <c r="A77" s="15" t="str">
        <f>'Master Data'!A71</f>
        <v>RATTAN OIL MILLSROZ36955</v>
      </c>
      <c r="B77" s="15" t="str">
        <f>'Master Data'!B71</f>
        <v>RT</v>
      </c>
      <c r="C77" s="15" t="str">
        <f>'Master Data'!C71</f>
        <v>RTROZ36955</v>
      </c>
      <c r="D77" s="15" t="str">
        <f>'Master Data'!D71</f>
        <v>RATTAN OIL MILLS</v>
      </c>
      <c r="E77" s="15" t="str">
        <f>'Master Data'!E71</f>
        <v>Kathua, Jammu</v>
      </c>
      <c r="F77" s="15" t="str">
        <f>'Master Data'!F71</f>
        <v>Biscuits</v>
      </c>
      <c r="G77" s="15" t="str">
        <f>'Master Data'!G71</f>
        <v>ROZ36955</v>
      </c>
      <c r="H77" s="15" t="str">
        <f>'Master Data'!H71</f>
        <v>Samuh Beat it Bite it Chocolate Cream Biscuit 66 g</v>
      </c>
      <c r="I77" s="23">
        <f>'Master Data'!I71</f>
        <v>10</v>
      </c>
      <c r="J77" s="23">
        <f>'Master Data'!J71</f>
        <v>66</v>
      </c>
      <c r="K77" s="23">
        <f>'Master Data'!K71</f>
        <v>60</v>
      </c>
      <c r="L77" s="24">
        <f>'Master Data'!L71</f>
        <v>0</v>
      </c>
      <c r="M77" s="23">
        <f>'Master Data'!M71</f>
        <v>0</v>
      </c>
      <c r="N77" s="23">
        <f>'Master Data'!N71</f>
        <v>0</v>
      </c>
      <c r="O77" s="23">
        <f>'Master Data'!O71</f>
        <v>0</v>
      </c>
      <c r="P77" s="23">
        <f>'Master Data'!P71</f>
        <v>0</v>
      </c>
      <c r="Q77" s="23">
        <f>'Master Data'!Q71</f>
        <v>0</v>
      </c>
      <c r="R77" s="23">
        <f>'Master Data'!R71</f>
        <v>0</v>
      </c>
      <c r="S77" s="23">
        <f>'Master Data'!S71</f>
        <v>0</v>
      </c>
      <c r="T77" s="23">
        <f>'Master Data'!T71</f>
        <v>0</v>
      </c>
      <c r="U77" s="23">
        <f>'Master Data'!U71</f>
        <v>0</v>
      </c>
      <c r="V77" s="23">
        <f>'Master Data'!V71</f>
        <v>0</v>
      </c>
      <c r="W77" s="23">
        <f>'Master Data'!W71</f>
        <v>0</v>
      </c>
      <c r="X77" s="23">
        <f>'Master Data'!X71</f>
        <v>0</v>
      </c>
      <c r="Y77" s="23">
        <f>'Master Data'!Y71</f>
        <v>0</v>
      </c>
      <c r="Z77" s="23">
        <f>'Master Data'!Z71</f>
        <v>0</v>
      </c>
      <c r="AA77" s="23">
        <f>'Master Data'!AA71</f>
        <v>0</v>
      </c>
      <c r="AB77" s="23">
        <f>'Master Data'!AB71</f>
        <v>0</v>
      </c>
      <c r="AC77" s="23">
        <f>'Master Data'!AC71</f>
        <v>0</v>
      </c>
      <c r="AD77" s="23">
        <f>'Master Data'!AD71</f>
        <v>0</v>
      </c>
      <c r="AE77" s="23">
        <f>'Master Data'!AE71</f>
        <v>0</v>
      </c>
      <c r="AF77" s="23">
        <f>'Master Data'!AF71</f>
        <v>0</v>
      </c>
      <c r="AG77" s="23">
        <f>'Master Data'!AG71</f>
        <v>0</v>
      </c>
      <c r="AH77" s="23">
        <f>'Master Data'!AH71</f>
        <v>0</v>
      </c>
      <c r="AI77" s="23">
        <f>'Master Data'!AI71</f>
        <v>0</v>
      </c>
      <c r="AJ77" s="23">
        <f>'Master Data'!AJ71</f>
        <v>0</v>
      </c>
      <c r="AK77" s="23">
        <f>'Master Data'!AK71</f>
        <v>0</v>
      </c>
      <c r="AL77" s="23">
        <f>'Master Data'!AL71</f>
        <v>0</v>
      </c>
      <c r="AM77" s="23">
        <f>'Master Data'!AM71</f>
        <v>0</v>
      </c>
      <c r="AN77" s="23">
        <f>'Master Data'!AN71</f>
        <v>0</v>
      </c>
      <c r="AO77" s="23">
        <f>'Master Data'!AO71</f>
        <v>0</v>
      </c>
      <c r="AP77" s="23">
        <f>'Master Data'!AP71</f>
        <v>0</v>
      </c>
      <c r="AQ77" s="23">
        <f t="shared" si="16"/>
        <v>0</v>
      </c>
      <c r="AR77" s="16">
        <f t="shared" si="17"/>
        <v>0</v>
      </c>
      <c r="AS77" s="17">
        <f t="shared" si="14"/>
        <v>0</v>
      </c>
      <c r="AT77" s="16">
        <f t="shared" si="18"/>
        <v>0</v>
      </c>
    </row>
    <row r="78" spans="1:46" ht="15" customHeight="1" outlineLevel="1">
      <c r="A78" s="15" t="str">
        <f>'Master Data'!A72</f>
        <v>RATTAN OIL MILLSROZ23743</v>
      </c>
      <c r="B78" s="15" t="str">
        <f>'Master Data'!B72</f>
        <v>RT</v>
      </c>
      <c r="C78" s="15" t="str">
        <f>'Master Data'!C72</f>
        <v>RTROZ23743</v>
      </c>
      <c r="D78" s="15" t="str">
        <f>'Master Data'!D72</f>
        <v>RATTAN OIL MILLS</v>
      </c>
      <c r="E78" s="15" t="str">
        <f>'Master Data'!E72</f>
        <v>Kathua, Jammu</v>
      </c>
      <c r="F78" s="15" t="str">
        <f>'Master Data'!F72</f>
        <v>Biscuits</v>
      </c>
      <c r="G78" s="15" t="str">
        <f>'Master Data'!G72</f>
        <v>ROZ23743</v>
      </c>
      <c r="H78" s="15" t="str">
        <f>'Master Data'!H72</f>
        <v>Samuh Butter Cookies Biscuit 30 g</v>
      </c>
      <c r="I78" s="23">
        <f>'Master Data'!I72</f>
        <v>5</v>
      </c>
      <c r="J78" s="23">
        <f>'Master Data'!J72</f>
        <v>30</v>
      </c>
      <c r="K78" s="23">
        <f>'Master Data'!K72</f>
        <v>144</v>
      </c>
      <c r="L78" s="24">
        <f>'Master Data'!L72</f>
        <v>0</v>
      </c>
      <c r="M78" s="23">
        <f>'Master Data'!M72</f>
        <v>0</v>
      </c>
      <c r="N78" s="23">
        <f>'Master Data'!N72</f>
        <v>0</v>
      </c>
      <c r="O78" s="23">
        <f>'Master Data'!O72</f>
        <v>0</v>
      </c>
      <c r="P78" s="23">
        <f>'Master Data'!P72</f>
        <v>0</v>
      </c>
      <c r="Q78" s="23">
        <f>'Master Data'!Q72</f>
        <v>0</v>
      </c>
      <c r="R78" s="23">
        <f>'Master Data'!R72</f>
        <v>0</v>
      </c>
      <c r="S78" s="23">
        <f>'Master Data'!S72</f>
        <v>0</v>
      </c>
      <c r="T78" s="23">
        <f>'Master Data'!T72</f>
        <v>0</v>
      </c>
      <c r="U78" s="23">
        <f>'Master Data'!U72</f>
        <v>0</v>
      </c>
      <c r="V78" s="23">
        <f>'Master Data'!V72</f>
        <v>0</v>
      </c>
      <c r="W78" s="23">
        <f>'Master Data'!W72</f>
        <v>0</v>
      </c>
      <c r="X78" s="23">
        <f>'Master Data'!X72</f>
        <v>0</v>
      </c>
      <c r="Y78" s="23">
        <f>'Master Data'!Y72</f>
        <v>0</v>
      </c>
      <c r="Z78" s="23">
        <f>'Master Data'!Z72</f>
        <v>0</v>
      </c>
      <c r="AA78" s="23">
        <f>'Master Data'!AA72</f>
        <v>0</v>
      </c>
      <c r="AB78" s="23">
        <f>'Master Data'!AB72</f>
        <v>0</v>
      </c>
      <c r="AC78" s="23">
        <f>'Master Data'!AC72</f>
        <v>0</v>
      </c>
      <c r="AD78" s="23">
        <f>'Master Data'!AD72</f>
        <v>0</v>
      </c>
      <c r="AE78" s="23">
        <f>'Master Data'!AE72</f>
        <v>0</v>
      </c>
      <c r="AF78" s="23">
        <f>'Master Data'!AF72</f>
        <v>0</v>
      </c>
      <c r="AG78" s="23">
        <f>'Master Data'!AG72</f>
        <v>0</v>
      </c>
      <c r="AH78" s="23">
        <f>'Master Data'!AH72</f>
        <v>0</v>
      </c>
      <c r="AI78" s="23">
        <f>'Master Data'!AI72</f>
        <v>0</v>
      </c>
      <c r="AJ78" s="23">
        <f>'Master Data'!AJ72</f>
        <v>0</v>
      </c>
      <c r="AK78" s="23">
        <f>'Master Data'!AK72</f>
        <v>0</v>
      </c>
      <c r="AL78" s="23">
        <f>'Master Data'!AL72</f>
        <v>0</v>
      </c>
      <c r="AM78" s="23">
        <f>'Master Data'!AM72</f>
        <v>0</v>
      </c>
      <c r="AN78" s="23">
        <f>'Master Data'!AN72</f>
        <v>0</v>
      </c>
      <c r="AO78" s="23">
        <f>'Master Data'!AO72</f>
        <v>0</v>
      </c>
      <c r="AP78" s="23">
        <f>'Master Data'!AP72</f>
        <v>0</v>
      </c>
      <c r="AQ78" s="23">
        <f t="shared" si="16"/>
        <v>0</v>
      </c>
      <c r="AR78" s="16">
        <f t="shared" si="17"/>
        <v>0</v>
      </c>
      <c r="AS78" s="17">
        <f t="shared" si="14"/>
        <v>0</v>
      </c>
      <c r="AT78" s="16">
        <f t="shared" si="18"/>
        <v>0</v>
      </c>
    </row>
    <row r="79" spans="1:46" ht="15" customHeight="1" outlineLevel="1">
      <c r="A79" s="15" t="str">
        <f>'Master Data'!A73</f>
        <v>RATTAN OIL MILLSROZ36958</v>
      </c>
      <c r="B79" s="15" t="str">
        <f>'Master Data'!B73</f>
        <v>RT</v>
      </c>
      <c r="C79" s="15" t="str">
        <f>'Master Data'!C73</f>
        <v>RTROZ36958</v>
      </c>
      <c r="D79" s="15" t="str">
        <f>'Master Data'!D73</f>
        <v>RATTAN OIL MILLS</v>
      </c>
      <c r="E79" s="15" t="str">
        <f>'Master Data'!E73</f>
        <v>Kathua, Jammu</v>
      </c>
      <c r="F79" s="15" t="str">
        <f>'Master Data'!F73</f>
        <v>Biscuits</v>
      </c>
      <c r="G79" s="15" t="str">
        <f>'Master Data'!G73</f>
        <v>ROZ36958</v>
      </c>
      <c r="H79" s="15" t="str">
        <f>'Master Data'!H73</f>
        <v>Samuh Butter Cookies Biscuit 60g</v>
      </c>
      <c r="I79" s="23">
        <f>'Master Data'!I73</f>
        <v>10</v>
      </c>
      <c r="J79" s="23">
        <f>'Master Data'!J73</f>
        <v>60</v>
      </c>
      <c r="K79" s="23">
        <f>'Master Data'!K73</f>
        <v>60</v>
      </c>
      <c r="L79" s="24">
        <f>'Master Data'!L73</f>
        <v>0</v>
      </c>
      <c r="M79" s="23">
        <f>'Master Data'!M73</f>
        <v>0</v>
      </c>
      <c r="N79" s="23">
        <f>'Master Data'!N73</f>
        <v>0</v>
      </c>
      <c r="O79" s="23">
        <f>'Master Data'!O73</f>
        <v>0</v>
      </c>
      <c r="P79" s="23">
        <f>'Master Data'!P73</f>
        <v>0</v>
      </c>
      <c r="Q79" s="23">
        <f>'Master Data'!Q73</f>
        <v>0</v>
      </c>
      <c r="R79" s="23">
        <f>'Master Data'!R73</f>
        <v>0</v>
      </c>
      <c r="S79" s="23">
        <f>'Master Data'!S73</f>
        <v>0</v>
      </c>
      <c r="T79" s="23">
        <f>'Master Data'!T73</f>
        <v>0</v>
      </c>
      <c r="U79" s="23">
        <f>'Master Data'!U73</f>
        <v>0</v>
      </c>
      <c r="V79" s="23">
        <f>'Master Data'!V73</f>
        <v>0</v>
      </c>
      <c r="W79" s="23">
        <f>'Master Data'!W73</f>
        <v>0</v>
      </c>
      <c r="X79" s="23">
        <f>'Master Data'!X73</f>
        <v>0</v>
      </c>
      <c r="Y79" s="23">
        <f>'Master Data'!Y73</f>
        <v>0</v>
      </c>
      <c r="Z79" s="23">
        <f>'Master Data'!Z73</f>
        <v>0</v>
      </c>
      <c r="AA79" s="23">
        <f>'Master Data'!AA73</f>
        <v>0</v>
      </c>
      <c r="AB79" s="23">
        <f>'Master Data'!AB73</f>
        <v>0</v>
      </c>
      <c r="AC79" s="23">
        <f>'Master Data'!AC73</f>
        <v>0</v>
      </c>
      <c r="AD79" s="23">
        <f>'Master Data'!AD73</f>
        <v>0</v>
      </c>
      <c r="AE79" s="23">
        <f>'Master Data'!AE73</f>
        <v>0</v>
      </c>
      <c r="AF79" s="23">
        <f>'Master Data'!AF73</f>
        <v>0</v>
      </c>
      <c r="AG79" s="23">
        <f>'Master Data'!AG73</f>
        <v>0</v>
      </c>
      <c r="AH79" s="23">
        <f>'Master Data'!AH73</f>
        <v>0</v>
      </c>
      <c r="AI79" s="23">
        <f>'Master Data'!AI73</f>
        <v>0</v>
      </c>
      <c r="AJ79" s="23">
        <f>'Master Data'!AJ73</f>
        <v>0</v>
      </c>
      <c r="AK79" s="23">
        <f>'Master Data'!AK73</f>
        <v>0</v>
      </c>
      <c r="AL79" s="23">
        <f>'Master Data'!AL73</f>
        <v>0</v>
      </c>
      <c r="AM79" s="23">
        <f>'Master Data'!AM73</f>
        <v>0</v>
      </c>
      <c r="AN79" s="23">
        <f>'Master Data'!AN73</f>
        <v>0</v>
      </c>
      <c r="AO79" s="23">
        <f>'Master Data'!AO73</f>
        <v>0</v>
      </c>
      <c r="AP79" s="23">
        <f>'Master Data'!AP73</f>
        <v>0</v>
      </c>
      <c r="AQ79" s="23">
        <f t="shared" si="16"/>
        <v>0</v>
      </c>
      <c r="AR79" s="16">
        <f t="shared" si="17"/>
        <v>0</v>
      </c>
      <c r="AS79" s="17">
        <f t="shared" si="14"/>
        <v>0</v>
      </c>
      <c r="AT79" s="16">
        <f t="shared" si="18"/>
        <v>0</v>
      </c>
    </row>
    <row r="80" spans="1:46" ht="15" customHeight="1" outlineLevel="1">
      <c r="A80" s="15" t="str">
        <f>'Master Data'!A74</f>
        <v>RATTAN OIL MILLSROZ36954</v>
      </c>
      <c r="B80" s="15" t="str">
        <f>'Master Data'!B74</f>
        <v>RT</v>
      </c>
      <c r="C80" s="15" t="str">
        <f>'Master Data'!C74</f>
        <v>RTROZ36954</v>
      </c>
      <c r="D80" s="15" t="str">
        <f>'Master Data'!D74</f>
        <v>RATTAN OIL MILLS</v>
      </c>
      <c r="E80" s="15" t="str">
        <f>'Master Data'!E74</f>
        <v>Kathua, Jammu</v>
      </c>
      <c r="F80" s="15" t="str">
        <f>'Master Data'!F74</f>
        <v>Biscuits</v>
      </c>
      <c r="G80" s="15" t="str">
        <f>'Master Data'!G74</f>
        <v>ROZ36954</v>
      </c>
      <c r="H80" s="15" t="str">
        <f>'Master Data'!H74</f>
        <v>Samuh Butter Cashew 29 g</v>
      </c>
      <c r="I80" s="23">
        <f>'Master Data'!I74</f>
        <v>5</v>
      </c>
      <c r="J80" s="23">
        <f>'Master Data'!J74</f>
        <v>29</v>
      </c>
      <c r="K80" s="23">
        <f>'Master Data'!K74</f>
        <v>144</v>
      </c>
      <c r="L80" s="24">
        <f>'Master Data'!L74</f>
        <v>0</v>
      </c>
      <c r="M80" s="23">
        <f>'Master Data'!M74</f>
        <v>0</v>
      </c>
      <c r="N80" s="23">
        <f>'Master Data'!N74</f>
        <v>0</v>
      </c>
      <c r="O80" s="23">
        <f>'Master Data'!O74</f>
        <v>0</v>
      </c>
      <c r="P80" s="23">
        <f>'Master Data'!P74</f>
        <v>0</v>
      </c>
      <c r="Q80" s="23">
        <f>'Master Data'!Q74</f>
        <v>0</v>
      </c>
      <c r="R80" s="23">
        <f>'Master Data'!R74</f>
        <v>0</v>
      </c>
      <c r="S80" s="23">
        <f>'Master Data'!S74</f>
        <v>0</v>
      </c>
      <c r="T80" s="23">
        <f>'Master Data'!T74</f>
        <v>0</v>
      </c>
      <c r="U80" s="23">
        <f>'Master Data'!U74</f>
        <v>0</v>
      </c>
      <c r="V80" s="23">
        <f>'Master Data'!V74</f>
        <v>0</v>
      </c>
      <c r="W80" s="23">
        <f>'Master Data'!W74</f>
        <v>0</v>
      </c>
      <c r="X80" s="23">
        <f>'Master Data'!X74</f>
        <v>0</v>
      </c>
      <c r="Y80" s="23">
        <f>'Master Data'!Y74</f>
        <v>0</v>
      </c>
      <c r="Z80" s="23">
        <f>'Master Data'!Z74</f>
        <v>0</v>
      </c>
      <c r="AA80" s="23">
        <f>'Master Data'!AA74</f>
        <v>0</v>
      </c>
      <c r="AB80" s="23">
        <f>'Master Data'!AB74</f>
        <v>0</v>
      </c>
      <c r="AC80" s="23">
        <f>'Master Data'!AC74</f>
        <v>0</v>
      </c>
      <c r="AD80" s="23">
        <f>'Master Data'!AD74</f>
        <v>0</v>
      </c>
      <c r="AE80" s="23">
        <f>'Master Data'!AE74</f>
        <v>0</v>
      </c>
      <c r="AF80" s="23">
        <f>'Master Data'!AF74</f>
        <v>0</v>
      </c>
      <c r="AG80" s="23">
        <f>'Master Data'!AG74</f>
        <v>0</v>
      </c>
      <c r="AH80" s="23">
        <f>'Master Data'!AH74</f>
        <v>0</v>
      </c>
      <c r="AI80" s="23">
        <f>'Master Data'!AI74</f>
        <v>0</v>
      </c>
      <c r="AJ80" s="23">
        <f>'Master Data'!AJ74</f>
        <v>0</v>
      </c>
      <c r="AK80" s="23">
        <f>'Master Data'!AK74</f>
        <v>0</v>
      </c>
      <c r="AL80" s="23">
        <f>'Master Data'!AL74</f>
        <v>0</v>
      </c>
      <c r="AM80" s="23">
        <f>'Master Data'!AM74</f>
        <v>0</v>
      </c>
      <c r="AN80" s="23">
        <f>'Master Data'!AN74</f>
        <v>0</v>
      </c>
      <c r="AO80" s="23">
        <f>'Master Data'!AO74</f>
        <v>0</v>
      </c>
      <c r="AP80" s="23">
        <f>'Master Data'!AP74</f>
        <v>0</v>
      </c>
      <c r="AQ80" s="23">
        <f t="shared" si="16"/>
        <v>0</v>
      </c>
      <c r="AR80" s="16">
        <f t="shared" si="17"/>
        <v>0</v>
      </c>
      <c r="AS80" s="17">
        <f t="shared" si="14"/>
        <v>0</v>
      </c>
      <c r="AT80" s="16">
        <f t="shared" si="18"/>
        <v>0</v>
      </c>
    </row>
    <row r="81" spans="1:46" ht="15" customHeight="1" outlineLevel="1">
      <c r="A81" s="15" t="str">
        <f>'Master Data'!A75</f>
        <v>RATTAN OIL MILLSROZ36960</v>
      </c>
      <c r="B81" s="15" t="str">
        <f>'Master Data'!B75</f>
        <v>RT</v>
      </c>
      <c r="C81" s="15" t="str">
        <f>'Master Data'!C75</f>
        <v>RTROZ36960</v>
      </c>
      <c r="D81" s="15" t="str">
        <f>'Master Data'!D75</f>
        <v>RATTAN OIL MILLS</v>
      </c>
      <c r="E81" s="15" t="str">
        <f>'Master Data'!E75</f>
        <v>Kathua, Jammu</v>
      </c>
      <c r="F81" s="15" t="str">
        <f>'Master Data'!F75</f>
        <v>Biscuits</v>
      </c>
      <c r="G81" s="15" t="str">
        <f>'Master Data'!G75</f>
        <v>ROZ36960</v>
      </c>
      <c r="H81" s="15" t="str">
        <f>'Master Data'!H75</f>
        <v>Samuh Butter Cashew Biscuit 58g</v>
      </c>
      <c r="I81" s="23">
        <f>'Master Data'!I75</f>
        <v>10</v>
      </c>
      <c r="J81" s="23">
        <f>'Master Data'!J75</f>
        <v>58</v>
      </c>
      <c r="K81" s="23">
        <f>'Master Data'!K75</f>
        <v>60</v>
      </c>
      <c r="L81" s="24">
        <f>'Master Data'!L75</f>
        <v>0</v>
      </c>
      <c r="M81" s="23">
        <f>'Master Data'!M75</f>
        <v>0</v>
      </c>
      <c r="N81" s="23">
        <f>'Master Data'!N75</f>
        <v>0</v>
      </c>
      <c r="O81" s="23">
        <f>'Master Data'!O75</f>
        <v>0</v>
      </c>
      <c r="P81" s="23">
        <f>'Master Data'!P75</f>
        <v>0</v>
      </c>
      <c r="Q81" s="23">
        <f>'Master Data'!Q75</f>
        <v>0</v>
      </c>
      <c r="R81" s="23">
        <f>'Master Data'!R75</f>
        <v>0</v>
      </c>
      <c r="S81" s="23">
        <f>'Master Data'!S75</f>
        <v>0</v>
      </c>
      <c r="T81" s="23">
        <f>'Master Data'!T75</f>
        <v>0</v>
      </c>
      <c r="U81" s="23">
        <f>'Master Data'!U75</f>
        <v>0</v>
      </c>
      <c r="V81" s="23">
        <f>'Master Data'!V75</f>
        <v>0</v>
      </c>
      <c r="W81" s="23">
        <f>'Master Data'!W75</f>
        <v>0</v>
      </c>
      <c r="X81" s="23">
        <f>'Master Data'!X75</f>
        <v>0</v>
      </c>
      <c r="Y81" s="23">
        <f>'Master Data'!Y75</f>
        <v>0</v>
      </c>
      <c r="Z81" s="23">
        <f>'Master Data'!Z75</f>
        <v>0</v>
      </c>
      <c r="AA81" s="23">
        <f>'Master Data'!AA75</f>
        <v>0</v>
      </c>
      <c r="AB81" s="23">
        <f>'Master Data'!AB75</f>
        <v>0</v>
      </c>
      <c r="AC81" s="23">
        <f>'Master Data'!AC75</f>
        <v>0</v>
      </c>
      <c r="AD81" s="23">
        <f>'Master Data'!AD75</f>
        <v>0</v>
      </c>
      <c r="AE81" s="23">
        <f>'Master Data'!AE75</f>
        <v>0</v>
      </c>
      <c r="AF81" s="23">
        <f>'Master Data'!AF75</f>
        <v>0</v>
      </c>
      <c r="AG81" s="23">
        <f>'Master Data'!AG75</f>
        <v>0</v>
      </c>
      <c r="AH81" s="23">
        <f>'Master Data'!AH75</f>
        <v>0</v>
      </c>
      <c r="AI81" s="23">
        <f>'Master Data'!AI75</f>
        <v>0</v>
      </c>
      <c r="AJ81" s="23">
        <f>'Master Data'!AJ75</f>
        <v>0</v>
      </c>
      <c r="AK81" s="23">
        <f>'Master Data'!AK75</f>
        <v>0</v>
      </c>
      <c r="AL81" s="23">
        <f>'Master Data'!AL75</f>
        <v>0</v>
      </c>
      <c r="AM81" s="23">
        <f>'Master Data'!AM75</f>
        <v>0</v>
      </c>
      <c r="AN81" s="23">
        <f>'Master Data'!AN75</f>
        <v>0</v>
      </c>
      <c r="AO81" s="23">
        <f>'Master Data'!AO75</f>
        <v>0</v>
      </c>
      <c r="AP81" s="23">
        <f>'Master Data'!AP75</f>
        <v>0</v>
      </c>
      <c r="AQ81" s="23">
        <f t="shared" si="16"/>
        <v>0</v>
      </c>
      <c r="AR81" s="16">
        <f t="shared" si="17"/>
        <v>0</v>
      </c>
      <c r="AS81" s="17">
        <f t="shared" si="14"/>
        <v>0</v>
      </c>
      <c r="AT81" s="16">
        <f t="shared" si="18"/>
        <v>0</v>
      </c>
    </row>
    <row r="82" spans="1:46" ht="15" customHeight="1" outlineLevel="1">
      <c r="A82" s="15" t="str">
        <f>'Master Data'!A76</f>
        <v>RATTAN OIL MILLSROZ39494</v>
      </c>
      <c r="B82" s="15" t="str">
        <f>'Master Data'!B76</f>
        <v>RT</v>
      </c>
      <c r="C82" s="15" t="str">
        <f>'Master Data'!C76</f>
        <v>RTROZ39494</v>
      </c>
      <c r="D82" s="15" t="str">
        <f>'Master Data'!D76</f>
        <v>RATTAN OIL MILLS</v>
      </c>
      <c r="E82" s="15" t="str">
        <f>'Master Data'!E76</f>
        <v>Kathua, Jammu</v>
      </c>
      <c r="F82" s="15" t="str">
        <f>'Master Data'!F76</f>
        <v>Biscuits</v>
      </c>
      <c r="G82" s="15" t="str">
        <f>'Master Data'!G76</f>
        <v>ROZ39494</v>
      </c>
      <c r="H82" s="15" t="str">
        <f>'Master Data'!H76</f>
        <v>Samuh Milky Biscuit 35 g</v>
      </c>
      <c r="I82" s="23">
        <f>'Master Data'!I76</f>
        <v>5</v>
      </c>
      <c r="J82" s="23">
        <f>'Master Data'!J76</f>
        <v>35</v>
      </c>
      <c r="K82" s="23">
        <f>'Master Data'!K76</f>
        <v>144</v>
      </c>
      <c r="L82" s="24">
        <f>'Master Data'!L76</f>
        <v>0</v>
      </c>
      <c r="M82" s="23">
        <f>'Master Data'!M76</f>
        <v>0</v>
      </c>
      <c r="N82" s="23">
        <f>'Master Data'!N76</f>
        <v>0</v>
      </c>
      <c r="O82" s="23">
        <f>'Master Data'!O76</f>
        <v>0</v>
      </c>
      <c r="P82" s="23">
        <f>'Master Data'!P76</f>
        <v>0</v>
      </c>
      <c r="Q82" s="23">
        <f>'Master Data'!Q76</f>
        <v>0</v>
      </c>
      <c r="R82" s="23">
        <f>'Master Data'!R76</f>
        <v>0</v>
      </c>
      <c r="S82" s="23">
        <f>'Master Data'!S76</f>
        <v>0</v>
      </c>
      <c r="T82" s="23">
        <f>'Master Data'!T76</f>
        <v>0</v>
      </c>
      <c r="U82" s="23">
        <f>'Master Data'!U76</f>
        <v>0</v>
      </c>
      <c r="V82" s="23">
        <f>'Master Data'!V76</f>
        <v>0</v>
      </c>
      <c r="W82" s="23">
        <f>'Master Data'!W76</f>
        <v>0</v>
      </c>
      <c r="X82" s="23">
        <f>'Master Data'!X76</f>
        <v>0</v>
      </c>
      <c r="Y82" s="23">
        <f>'Master Data'!Y76</f>
        <v>0</v>
      </c>
      <c r="Z82" s="23">
        <f>'Master Data'!Z76</f>
        <v>0</v>
      </c>
      <c r="AA82" s="23">
        <f>'Master Data'!AA76</f>
        <v>0</v>
      </c>
      <c r="AB82" s="23">
        <f>'Master Data'!AB76</f>
        <v>0</v>
      </c>
      <c r="AC82" s="23">
        <f>'Master Data'!AC76</f>
        <v>0</v>
      </c>
      <c r="AD82" s="23">
        <f>'Master Data'!AD76</f>
        <v>0</v>
      </c>
      <c r="AE82" s="23">
        <f>'Master Data'!AE76</f>
        <v>0</v>
      </c>
      <c r="AF82" s="23">
        <f>'Master Data'!AF76</f>
        <v>0</v>
      </c>
      <c r="AG82" s="23">
        <f>'Master Data'!AG76</f>
        <v>0</v>
      </c>
      <c r="AH82" s="23">
        <f>'Master Data'!AH76</f>
        <v>0</v>
      </c>
      <c r="AI82" s="23">
        <f>'Master Data'!AI76</f>
        <v>0</v>
      </c>
      <c r="AJ82" s="23">
        <f>'Master Data'!AJ76</f>
        <v>0</v>
      </c>
      <c r="AK82" s="23">
        <f>'Master Data'!AK76</f>
        <v>0</v>
      </c>
      <c r="AL82" s="23">
        <f>'Master Data'!AL76</f>
        <v>0</v>
      </c>
      <c r="AM82" s="23">
        <f>'Master Data'!AM76</f>
        <v>0</v>
      </c>
      <c r="AN82" s="23">
        <f>'Master Data'!AN76</f>
        <v>0</v>
      </c>
      <c r="AO82" s="23">
        <f>'Master Data'!AO76</f>
        <v>0</v>
      </c>
      <c r="AP82" s="23">
        <f>'Master Data'!AP76</f>
        <v>0</v>
      </c>
      <c r="AQ82" s="23">
        <f t="shared" si="16"/>
        <v>0</v>
      </c>
      <c r="AR82" s="16">
        <f t="shared" si="17"/>
        <v>0</v>
      </c>
      <c r="AS82" s="17">
        <f t="shared" si="14"/>
        <v>0</v>
      </c>
      <c r="AT82" s="16">
        <f t="shared" si="18"/>
        <v>0</v>
      </c>
    </row>
    <row r="83" spans="1:46" ht="15" customHeight="1" outlineLevel="1">
      <c r="A83" s="15" t="str">
        <f>'Master Data'!A77</f>
        <v>RATTAN OIL MILLSROZ39495</v>
      </c>
      <c r="B83" s="15" t="str">
        <f>'Master Data'!B77</f>
        <v>RT</v>
      </c>
      <c r="C83" s="15" t="str">
        <f>'Master Data'!C77</f>
        <v>RTROZ39495</v>
      </c>
      <c r="D83" s="15" t="str">
        <f>'Master Data'!D77</f>
        <v>RATTAN OIL MILLS</v>
      </c>
      <c r="E83" s="15" t="str">
        <f>'Master Data'!E77</f>
        <v>Kathua, Jammu</v>
      </c>
      <c r="F83" s="15" t="str">
        <f>'Master Data'!F77</f>
        <v>Biscuits</v>
      </c>
      <c r="G83" s="15" t="str">
        <f>'Master Data'!G77</f>
        <v>ROZ39495</v>
      </c>
      <c r="H83" s="15" t="str">
        <f>'Master Data'!H77</f>
        <v>Samuh Milky Biscuit 70 g</v>
      </c>
      <c r="I83" s="23">
        <f>'Master Data'!I77</f>
        <v>10</v>
      </c>
      <c r="J83" s="23">
        <f>'Master Data'!J77</f>
        <v>70</v>
      </c>
      <c r="K83" s="23">
        <f>'Master Data'!K77</f>
        <v>72</v>
      </c>
      <c r="L83" s="24">
        <f>'Master Data'!L77</f>
        <v>0</v>
      </c>
      <c r="M83" s="23">
        <f>'Master Data'!M77</f>
        <v>0</v>
      </c>
      <c r="N83" s="23">
        <f>'Master Data'!N77</f>
        <v>0</v>
      </c>
      <c r="O83" s="23">
        <f>'Master Data'!O77</f>
        <v>0</v>
      </c>
      <c r="P83" s="23">
        <f>'Master Data'!P77</f>
        <v>0</v>
      </c>
      <c r="Q83" s="23">
        <f>'Master Data'!Q77</f>
        <v>0</v>
      </c>
      <c r="R83" s="23">
        <f>'Master Data'!R77</f>
        <v>0</v>
      </c>
      <c r="S83" s="23">
        <f>'Master Data'!S77</f>
        <v>0</v>
      </c>
      <c r="T83" s="23">
        <f>'Master Data'!T77</f>
        <v>0</v>
      </c>
      <c r="U83" s="23">
        <f>'Master Data'!U77</f>
        <v>0</v>
      </c>
      <c r="V83" s="23">
        <f>'Master Data'!V77</f>
        <v>0</v>
      </c>
      <c r="W83" s="23">
        <f>'Master Data'!W77</f>
        <v>0</v>
      </c>
      <c r="X83" s="23">
        <f>'Master Data'!X77</f>
        <v>0</v>
      </c>
      <c r="Y83" s="23">
        <f>'Master Data'!Y77</f>
        <v>0</v>
      </c>
      <c r="Z83" s="23">
        <f>'Master Data'!Z77</f>
        <v>0</v>
      </c>
      <c r="AA83" s="23">
        <f>'Master Data'!AA77</f>
        <v>0</v>
      </c>
      <c r="AB83" s="23">
        <f>'Master Data'!AB77</f>
        <v>0</v>
      </c>
      <c r="AC83" s="23">
        <f>'Master Data'!AC77</f>
        <v>0</v>
      </c>
      <c r="AD83" s="23">
        <f>'Master Data'!AD77</f>
        <v>0</v>
      </c>
      <c r="AE83" s="23">
        <f>'Master Data'!AE77</f>
        <v>0</v>
      </c>
      <c r="AF83" s="23">
        <f>'Master Data'!AF77</f>
        <v>0</v>
      </c>
      <c r="AG83" s="23">
        <f>'Master Data'!AG77</f>
        <v>0</v>
      </c>
      <c r="AH83" s="23">
        <f>'Master Data'!AH77</f>
        <v>0</v>
      </c>
      <c r="AI83" s="23">
        <f>'Master Data'!AI77</f>
        <v>0</v>
      </c>
      <c r="AJ83" s="23">
        <f>'Master Data'!AJ77</f>
        <v>0</v>
      </c>
      <c r="AK83" s="23">
        <f>'Master Data'!AK77</f>
        <v>0</v>
      </c>
      <c r="AL83" s="23">
        <f>'Master Data'!AL77</f>
        <v>0</v>
      </c>
      <c r="AM83" s="23">
        <f>'Master Data'!AM77</f>
        <v>0</v>
      </c>
      <c r="AN83" s="23">
        <f>'Master Data'!AN77</f>
        <v>0</v>
      </c>
      <c r="AO83" s="23">
        <f>'Master Data'!AO77</f>
        <v>0</v>
      </c>
      <c r="AP83" s="23">
        <f>'Master Data'!AP77</f>
        <v>0</v>
      </c>
      <c r="AQ83" s="23">
        <f t="shared" si="16"/>
        <v>0</v>
      </c>
      <c r="AR83" s="16">
        <f t="shared" si="17"/>
        <v>0</v>
      </c>
      <c r="AS83" s="17">
        <f t="shared" si="14"/>
        <v>0</v>
      </c>
      <c r="AT83" s="16">
        <f t="shared" si="18"/>
        <v>0</v>
      </c>
    </row>
    <row r="84" spans="1:46" ht="15" customHeight="1" outlineLevel="1">
      <c r="A84" s="15" t="str">
        <f>'Master Data'!A78</f>
        <v>RATTAN OIL MILLSROZ23740</v>
      </c>
      <c r="B84" s="15" t="str">
        <f>'Master Data'!B78</f>
        <v>RT</v>
      </c>
      <c r="C84" s="15" t="str">
        <f>'Master Data'!C78</f>
        <v>RTROZ23740</v>
      </c>
      <c r="D84" s="15" t="str">
        <f>'Master Data'!D78</f>
        <v>RATTAN OIL MILLS</v>
      </c>
      <c r="E84" s="15" t="str">
        <f>'Master Data'!E78</f>
        <v>Kathua, Jammu</v>
      </c>
      <c r="F84" s="15" t="str">
        <f>'Master Data'!F78</f>
        <v>Biscuits</v>
      </c>
      <c r="G84" s="15" t="str">
        <f>'Master Data'!G78</f>
        <v>ROZ23740</v>
      </c>
      <c r="H84" s="15" t="str">
        <f>'Master Data'!H78</f>
        <v>Samuh Zeera Biscuit 35 g</v>
      </c>
      <c r="I84" s="23">
        <f>'Master Data'!I78</f>
        <v>5</v>
      </c>
      <c r="J84" s="23">
        <f>'Master Data'!J78</f>
        <v>35</v>
      </c>
      <c r="K84" s="23">
        <f>'Master Data'!K78</f>
        <v>144</v>
      </c>
      <c r="L84" s="24">
        <f>'Master Data'!L78</f>
        <v>0</v>
      </c>
      <c r="M84" s="23">
        <f>'Master Data'!M78</f>
        <v>0</v>
      </c>
      <c r="N84" s="23">
        <f>'Master Data'!N78</f>
        <v>0</v>
      </c>
      <c r="O84" s="23">
        <f>'Master Data'!O78</f>
        <v>0</v>
      </c>
      <c r="P84" s="23">
        <f>'Master Data'!P78</f>
        <v>0</v>
      </c>
      <c r="Q84" s="23">
        <f>'Master Data'!Q78</f>
        <v>0</v>
      </c>
      <c r="R84" s="23">
        <f>'Master Data'!R78</f>
        <v>0</v>
      </c>
      <c r="S84" s="23">
        <f>'Master Data'!S78</f>
        <v>0</v>
      </c>
      <c r="T84" s="23">
        <f>'Master Data'!T78</f>
        <v>0</v>
      </c>
      <c r="U84" s="23">
        <f>'Master Data'!U78</f>
        <v>0</v>
      </c>
      <c r="V84" s="23">
        <f>'Master Data'!V78</f>
        <v>0</v>
      </c>
      <c r="W84" s="23">
        <f>'Master Data'!W78</f>
        <v>0</v>
      </c>
      <c r="X84" s="23">
        <f>'Master Data'!X78</f>
        <v>0</v>
      </c>
      <c r="Y84" s="23">
        <f>'Master Data'!Y78</f>
        <v>0</v>
      </c>
      <c r="Z84" s="23">
        <f>'Master Data'!Z78</f>
        <v>0</v>
      </c>
      <c r="AA84" s="23">
        <f>'Master Data'!AA78</f>
        <v>0</v>
      </c>
      <c r="AB84" s="23">
        <f>'Master Data'!AB78</f>
        <v>0</v>
      </c>
      <c r="AC84" s="23">
        <f>'Master Data'!AC78</f>
        <v>0</v>
      </c>
      <c r="AD84" s="23">
        <f>'Master Data'!AD78</f>
        <v>0</v>
      </c>
      <c r="AE84" s="23">
        <f>'Master Data'!AE78</f>
        <v>0</v>
      </c>
      <c r="AF84" s="23">
        <f>'Master Data'!AF78</f>
        <v>0</v>
      </c>
      <c r="AG84" s="23">
        <f>'Master Data'!AG78</f>
        <v>0</v>
      </c>
      <c r="AH84" s="23">
        <f>'Master Data'!AH78</f>
        <v>0</v>
      </c>
      <c r="AI84" s="23">
        <f>'Master Data'!AI78</f>
        <v>0</v>
      </c>
      <c r="AJ84" s="23">
        <f>'Master Data'!AJ78</f>
        <v>0</v>
      </c>
      <c r="AK84" s="23">
        <f>'Master Data'!AK78</f>
        <v>0</v>
      </c>
      <c r="AL84" s="23">
        <f>'Master Data'!AL78</f>
        <v>0</v>
      </c>
      <c r="AM84" s="23">
        <f>'Master Data'!AM78</f>
        <v>0</v>
      </c>
      <c r="AN84" s="23">
        <f>'Master Data'!AN78</f>
        <v>0</v>
      </c>
      <c r="AO84" s="23">
        <f>'Master Data'!AO78</f>
        <v>0</v>
      </c>
      <c r="AP84" s="23">
        <f>'Master Data'!AP78</f>
        <v>0</v>
      </c>
      <c r="AQ84" s="23">
        <f t="shared" si="16"/>
        <v>0</v>
      </c>
      <c r="AR84" s="16">
        <f t="shared" si="17"/>
        <v>0</v>
      </c>
      <c r="AS84" s="17">
        <f t="shared" si="14"/>
        <v>0</v>
      </c>
      <c r="AT84" s="16">
        <f t="shared" si="18"/>
        <v>0</v>
      </c>
    </row>
    <row r="85" spans="1:46" ht="15" customHeight="1" outlineLevel="1">
      <c r="A85" s="15" t="str">
        <f>'Master Data'!A79</f>
        <v>RATTAN OIL MILLSROZ23742</v>
      </c>
      <c r="B85" s="15" t="str">
        <f>'Master Data'!B79</f>
        <v>RT</v>
      </c>
      <c r="C85" s="15" t="str">
        <f>'Master Data'!C79</f>
        <v>RTROZ23742</v>
      </c>
      <c r="D85" s="15" t="str">
        <f>'Master Data'!D79</f>
        <v>RATTAN OIL MILLS</v>
      </c>
      <c r="E85" s="15" t="str">
        <f>'Master Data'!E79</f>
        <v>Kathua, Jammu</v>
      </c>
      <c r="F85" s="15" t="str">
        <f>'Master Data'!F79</f>
        <v>Biscuits</v>
      </c>
      <c r="G85" s="15" t="str">
        <f>'Master Data'!G79</f>
        <v>ROZ23742</v>
      </c>
      <c r="H85" s="15" t="str">
        <f>'Master Data'!H79</f>
        <v>Samuh Salty Sweety Biscuit 32 g</v>
      </c>
      <c r="I85" s="23">
        <f>'Master Data'!I79</f>
        <v>5</v>
      </c>
      <c r="J85" s="23">
        <f>'Master Data'!J79</f>
        <v>32</v>
      </c>
      <c r="K85" s="23">
        <f>'Master Data'!K79</f>
        <v>144</v>
      </c>
      <c r="L85" s="24">
        <f>'Master Data'!L79</f>
        <v>0</v>
      </c>
      <c r="M85" s="23">
        <f>'Master Data'!M79</f>
        <v>0</v>
      </c>
      <c r="N85" s="23">
        <f>'Master Data'!N79</f>
        <v>0</v>
      </c>
      <c r="O85" s="23">
        <f>'Master Data'!O79</f>
        <v>0</v>
      </c>
      <c r="P85" s="23">
        <f>'Master Data'!P79</f>
        <v>0</v>
      </c>
      <c r="Q85" s="23">
        <f>'Master Data'!Q79</f>
        <v>0</v>
      </c>
      <c r="R85" s="23">
        <f>'Master Data'!R79</f>
        <v>0</v>
      </c>
      <c r="S85" s="23">
        <f>'Master Data'!S79</f>
        <v>0</v>
      </c>
      <c r="T85" s="23">
        <f>'Master Data'!T79</f>
        <v>0</v>
      </c>
      <c r="U85" s="23">
        <f>'Master Data'!U79</f>
        <v>0</v>
      </c>
      <c r="V85" s="23">
        <f>'Master Data'!V79</f>
        <v>0</v>
      </c>
      <c r="W85" s="23">
        <f>'Master Data'!W79</f>
        <v>0</v>
      </c>
      <c r="X85" s="23">
        <f>'Master Data'!X79</f>
        <v>0</v>
      </c>
      <c r="Y85" s="23">
        <f>'Master Data'!Y79</f>
        <v>0</v>
      </c>
      <c r="Z85" s="23">
        <f>'Master Data'!Z79</f>
        <v>0</v>
      </c>
      <c r="AA85" s="23">
        <f>'Master Data'!AA79</f>
        <v>0</v>
      </c>
      <c r="AB85" s="23">
        <f>'Master Data'!AB79</f>
        <v>0</v>
      </c>
      <c r="AC85" s="23">
        <f>'Master Data'!AC79</f>
        <v>0</v>
      </c>
      <c r="AD85" s="23">
        <f>'Master Data'!AD79</f>
        <v>0</v>
      </c>
      <c r="AE85" s="23">
        <f>'Master Data'!AE79</f>
        <v>0</v>
      </c>
      <c r="AF85" s="23">
        <f>'Master Data'!AF79</f>
        <v>0</v>
      </c>
      <c r="AG85" s="23">
        <f>'Master Data'!AG79</f>
        <v>0</v>
      </c>
      <c r="AH85" s="23">
        <f>'Master Data'!AH79</f>
        <v>0</v>
      </c>
      <c r="AI85" s="23">
        <f>'Master Data'!AI79</f>
        <v>0</v>
      </c>
      <c r="AJ85" s="23">
        <f>'Master Data'!AJ79</f>
        <v>0</v>
      </c>
      <c r="AK85" s="23">
        <f>'Master Data'!AK79</f>
        <v>0</v>
      </c>
      <c r="AL85" s="23">
        <f>'Master Data'!AL79</f>
        <v>0</v>
      </c>
      <c r="AM85" s="23">
        <f>'Master Data'!AM79</f>
        <v>0</v>
      </c>
      <c r="AN85" s="23">
        <f>'Master Data'!AN79</f>
        <v>0</v>
      </c>
      <c r="AO85" s="23">
        <f>'Master Data'!AO79</f>
        <v>0</v>
      </c>
      <c r="AP85" s="23">
        <f>'Master Data'!AP79</f>
        <v>0</v>
      </c>
      <c r="AQ85" s="23">
        <f t="shared" si="16"/>
        <v>0</v>
      </c>
      <c r="AR85" s="16">
        <f t="shared" si="17"/>
        <v>0</v>
      </c>
      <c r="AS85" s="17">
        <f t="shared" si="14"/>
        <v>0</v>
      </c>
      <c r="AT85" s="16">
        <f t="shared" si="18"/>
        <v>0</v>
      </c>
    </row>
    <row r="86" spans="1:46" ht="15" customHeight="1" outlineLevel="1">
      <c r="A86" s="15" t="str">
        <f>'Master Data'!A80</f>
        <v>RATTAN OIL MILLSROZ36959</v>
      </c>
      <c r="B86" s="15" t="str">
        <f>'Master Data'!B80</f>
        <v>RT</v>
      </c>
      <c r="C86" s="15" t="str">
        <f>'Master Data'!C80</f>
        <v>RTROZ36959</v>
      </c>
      <c r="D86" s="15" t="str">
        <f>'Master Data'!D80</f>
        <v>RATTAN OIL MILLS</v>
      </c>
      <c r="E86" s="15" t="str">
        <f>'Master Data'!E80</f>
        <v>Kathua, Jammu</v>
      </c>
      <c r="F86" s="15" t="str">
        <f>'Master Data'!F80</f>
        <v>Biscuits</v>
      </c>
      <c r="G86" s="15" t="str">
        <f>'Master Data'!G80</f>
        <v>ROZ36959</v>
      </c>
      <c r="H86" s="15" t="str">
        <f>'Master Data'!H80</f>
        <v>Samuh Salty Sweety Biscuit 65 g</v>
      </c>
      <c r="I86" s="23">
        <f>'Master Data'!I80</f>
        <v>10</v>
      </c>
      <c r="J86" s="23">
        <f>'Master Data'!J80</f>
        <v>65</v>
      </c>
      <c r="K86" s="23">
        <f>'Master Data'!K80</f>
        <v>60</v>
      </c>
      <c r="L86" s="24">
        <f>'Master Data'!L80</f>
        <v>0</v>
      </c>
      <c r="M86" s="23">
        <f>'Master Data'!M80</f>
        <v>0</v>
      </c>
      <c r="N86" s="23">
        <f>'Master Data'!N80</f>
        <v>0</v>
      </c>
      <c r="O86" s="23">
        <f>'Master Data'!O80</f>
        <v>0</v>
      </c>
      <c r="P86" s="23">
        <f>'Master Data'!P80</f>
        <v>0</v>
      </c>
      <c r="Q86" s="23">
        <f>'Master Data'!Q80</f>
        <v>0</v>
      </c>
      <c r="R86" s="23">
        <f>'Master Data'!R80</f>
        <v>0</v>
      </c>
      <c r="S86" s="23">
        <f>'Master Data'!S80</f>
        <v>0</v>
      </c>
      <c r="T86" s="23">
        <f>'Master Data'!T80</f>
        <v>0</v>
      </c>
      <c r="U86" s="23">
        <f>'Master Data'!U80</f>
        <v>0</v>
      </c>
      <c r="V86" s="23">
        <f>'Master Data'!V80</f>
        <v>0</v>
      </c>
      <c r="W86" s="23">
        <f>'Master Data'!W80</f>
        <v>0</v>
      </c>
      <c r="X86" s="23">
        <f>'Master Data'!X80</f>
        <v>0</v>
      </c>
      <c r="Y86" s="23">
        <f>'Master Data'!Y80</f>
        <v>0</v>
      </c>
      <c r="Z86" s="23">
        <f>'Master Data'!Z80</f>
        <v>0</v>
      </c>
      <c r="AA86" s="23">
        <f>'Master Data'!AA80</f>
        <v>0</v>
      </c>
      <c r="AB86" s="23">
        <f>'Master Data'!AB80</f>
        <v>0</v>
      </c>
      <c r="AC86" s="23">
        <f>'Master Data'!AC80</f>
        <v>0</v>
      </c>
      <c r="AD86" s="23">
        <f>'Master Data'!AD80</f>
        <v>0</v>
      </c>
      <c r="AE86" s="23">
        <f>'Master Data'!AE80</f>
        <v>0</v>
      </c>
      <c r="AF86" s="23">
        <f>'Master Data'!AF80</f>
        <v>0</v>
      </c>
      <c r="AG86" s="23">
        <f>'Master Data'!AG80</f>
        <v>0</v>
      </c>
      <c r="AH86" s="23">
        <f>'Master Data'!AH80</f>
        <v>0</v>
      </c>
      <c r="AI86" s="23">
        <f>'Master Data'!AI80</f>
        <v>0</v>
      </c>
      <c r="AJ86" s="23">
        <f>'Master Data'!AJ80</f>
        <v>0</v>
      </c>
      <c r="AK86" s="23">
        <f>'Master Data'!AK80</f>
        <v>0</v>
      </c>
      <c r="AL86" s="23">
        <f>'Master Data'!AL80</f>
        <v>0</v>
      </c>
      <c r="AM86" s="23">
        <f>'Master Data'!AM80</f>
        <v>0</v>
      </c>
      <c r="AN86" s="23">
        <f>'Master Data'!AN80</f>
        <v>0</v>
      </c>
      <c r="AO86" s="23">
        <f>'Master Data'!AO80</f>
        <v>0</v>
      </c>
      <c r="AP86" s="23">
        <f>'Master Data'!AP80</f>
        <v>0</v>
      </c>
      <c r="AQ86" s="23">
        <f t="shared" si="16"/>
        <v>0</v>
      </c>
      <c r="AR86" s="16">
        <f t="shared" si="17"/>
        <v>0</v>
      </c>
      <c r="AS86" s="17">
        <f t="shared" si="14"/>
        <v>0</v>
      </c>
      <c r="AT86" s="16">
        <f t="shared" si="18"/>
        <v>0</v>
      </c>
    </row>
    <row r="87" spans="1:46" ht="15" customHeight="1" outlineLevel="1">
      <c r="A87" s="15" t="str">
        <f>'Master Data'!A81</f>
        <v>RATTAN OIL MILLSROZ36962</v>
      </c>
      <c r="B87" s="15" t="str">
        <f>'Master Data'!B81</f>
        <v>RT</v>
      </c>
      <c r="C87" s="15" t="str">
        <f>'Master Data'!C81</f>
        <v>RTROZ36962</v>
      </c>
      <c r="D87" s="15" t="str">
        <f>'Master Data'!D81</f>
        <v>RATTAN OIL MILLS</v>
      </c>
      <c r="E87" s="15" t="str">
        <f>'Master Data'!E81</f>
        <v>Kathua, Jammu</v>
      </c>
      <c r="F87" s="15" t="str">
        <f>'Master Data'!F81</f>
        <v>Biscuits</v>
      </c>
      <c r="G87" s="15" t="str">
        <f>'Master Data'!G81</f>
        <v>ROZ36962</v>
      </c>
      <c r="H87" s="15" t="str">
        <f>'Master Data'!H81</f>
        <v>Samuh Marie Biscuit 75g</v>
      </c>
      <c r="I87" s="23">
        <f>'Master Data'!I81</f>
        <v>10</v>
      </c>
      <c r="J87" s="23">
        <f>'Master Data'!J81</f>
        <v>75</v>
      </c>
      <c r="K87" s="23">
        <f>'Master Data'!K81</f>
        <v>72</v>
      </c>
      <c r="L87" s="24">
        <f>'Master Data'!L81</f>
        <v>0</v>
      </c>
      <c r="M87" s="23">
        <f>'Master Data'!M81</f>
        <v>0</v>
      </c>
      <c r="N87" s="23">
        <f>'Master Data'!N81</f>
        <v>0</v>
      </c>
      <c r="O87" s="23">
        <f>'Master Data'!O81</f>
        <v>0</v>
      </c>
      <c r="P87" s="23">
        <f>'Master Data'!P81</f>
        <v>0</v>
      </c>
      <c r="Q87" s="23">
        <f>'Master Data'!Q81</f>
        <v>0</v>
      </c>
      <c r="R87" s="23">
        <f>'Master Data'!R81</f>
        <v>0</v>
      </c>
      <c r="S87" s="23">
        <f>'Master Data'!S81</f>
        <v>0</v>
      </c>
      <c r="T87" s="23">
        <f>'Master Data'!T81</f>
        <v>0</v>
      </c>
      <c r="U87" s="23">
        <f>'Master Data'!U81</f>
        <v>0</v>
      </c>
      <c r="V87" s="23">
        <f>'Master Data'!V81</f>
        <v>0</v>
      </c>
      <c r="W87" s="23">
        <f>'Master Data'!W81</f>
        <v>0</v>
      </c>
      <c r="X87" s="23">
        <f>'Master Data'!X81</f>
        <v>0</v>
      </c>
      <c r="Y87" s="23">
        <f>'Master Data'!Y81</f>
        <v>0</v>
      </c>
      <c r="Z87" s="23">
        <f>'Master Data'!Z81</f>
        <v>0</v>
      </c>
      <c r="AA87" s="23">
        <f>'Master Data'!AA81</f>
        <v>0</v>
      </c>
      <c r="AB87" s="23">
        <f>'Master Data'!AB81</f>
        <v>0</v>
      </c>
      <c r="AC87" s="23">
        <f>'Master Data'!AC81</f>
        <v>0</v>
      </c>
      <c r="AD87" s="23">
        <f>'Master Data'!AD81</f>
        <v>0</v>
      </c>
      <c r="AE87" s="23">
        <f>'Master Data'!AE81</f>
        <v>0</v>
      </c>
      <c r="AF87" s="23">
        <f>'Master Data'!AF81</f>
        <v>0</v>
      </c>
      <c r="AG87" s="23">
        <f>'Master Data'!AG81</f>
        <v>0</v>
      </c>
      <c r="AH87" s="23">
        <f>'Master Data'!AH81</f>
        <v>0</v>
      </c>
      <c r="AI87" s="23">
        <f>'Master Data'!AI81</f>
        <v>0</v>
      </c>
      <c r="AJ87" s="23">
        <f>'Master Data'!AJ81</f>
        <v>0</v>
      </c>
      <c r="AK87" s="23">
        <f>'Master Data'!AK81</f>
        <v>0</v>
      </c>
      <c r="AL87" s="23">
        <f>'Master Data'!AL81</f>
        <v>0</v>
      </c>
      <c r="AM87" s="23">
        <f>'Master Data'!AM81</f>
        <v>0</v>
      </c>
      <c r="AN87" s="23">
        <f>'Master Data'!AN81</f>
        <v>0</v>
      </c>
      <c r="AO87" s="23">
        <f>'Master Data'!AO81</f>
        <v>0</v>
      </c>
      <c r="AP87" s="23">
        <f>'Master Data'!AP81</f>
        <v>0</v>
      </c>
      <c r="AQ87" s="23">
        <f t="shared" si="16"/>
        <v>0</v>
      </c>
      <c r="AR87" s="16">
        <f t="shared" si="17"/>
        <v>0</v>
      </c>
      <c r="AS87" s="17">
        <f t="shared" si="14"/>
        <v>0</v>
      </c>
      <c r="AT87" s="16">
        <f t="shared" si="18"/>
        <v>0</v>
      </c>
    </row>
    <row r="88" spans="1:46" ht="15" customHeight="1" outlineLevel="1">
      <c r="A88" s="15" t="str">
        <f>'Master Data'!A82</f>
        <v>RATTAN OIL MILLSROZ36961</v>
      </c>
      <c r="B88" s="15" t="str">
        <f>'Master Data'!B82</f>
        <v>RT</v>
      </c>
      <c r="C88" s="15" t="str">
        <f>'Master Data'!C82</f>
        <v>RTROZ36961</v>
      </c>
      <c r="D88" s="15" t="str">
        <f>'Master Data'!D82</f>
        <v>RATTAN OIL MILLS</v>
      </c>
      <c r="E88" s="15" t="str">
        <f>'Master Data'!E82</f>
        <v>Kathua, Jammu</v>
      </c>
      <c r="F88" s="15" t="str">
        <f>'Master Data'!F82</f>
        <v>Biscuits</v>
      </c>
      <c r="G88" s="15" t="str">
        <f>'Master Data'!G82</f>
        <v>ROZ36961</v>
      </c>
      <c r="H88" s="15" t="str">
        <f>'Master Data'!H82</f>
        <v>Samuh Butter Kalonji Bliss 65g</v>
      </c>
      <c r="I88" s="23">
        <f>'Master Data'!I82</f>
        <v>10</v>
      </c>
      <c r="J88" s="23">
        <f>'Master Data'!J82</f>
        <v>65</v>
      </c>
      <c r="K88" s="23">
        <f>'Master Data'!K82</f>
        <v>72</v>
      </c>
      <c r="L88" s="24">
        <f>'Master Data'!L82</f>
        <v>0</v>
      </c>
      <c r="M88" s="23">
        <f>'Master Data'!M82</f>
        <v>0</v>
      </c>
      <c r="N88" s="23">
        <f>'Master Data'!N82</f>
        <v>0</v>
      </c>
      <c r="O88" s="23">
        <f>'Master Data'!O82</f>
        <v>0</v>
      </c>
      <c r="P88" s="23">
        <f>'Master Data'!P82</f>
        <v>0</v>
      </c>
      <c r="Q88" s="23">
        <f>'Master Data'!Q82</f>
        <v>0</v>
      </c>
      <c r="R88" s="23">
        <f>'Master Data'!R82</f>
        <v>0</v>
      </c>
      <c r="S88" s="23">
        <f>'Master Data'!S82</f>
        <v>0</v>
      </c>
      <c r="T88" s="23">
        <f>'Master Data'!T82</f>
        <v>0</v>
      </c>
      <c r="U88" s="23">
        <f>'Master Data'!U82</f>
        <v>0</v>
      </c>
      <c r="V88" s="23">
        <f>'Master Data'!V82</f>
        <v>0</v>
      </c>
      <c r="W88" s="23">
        <f>'Master Data'!W82</f>
        <v>0</v>
      </c>
      <c r="X88" s="23">
        <f>'Master Data'!X82</f>
        <v>0</v>
      </c>
      <c r="Y88" s="23">
        <f>'Master Data'!Y82</f>
        <v>0</v>
      </c>
      <c r="Z88" s="23">
        <f>'Master Data'!Z82</f>
        <v>0</v>
      </c>
      <c r="AA88" s="23">
        <f>'Master Data'!AA82</f>
        <v>0</v>
      </c>
      <c r="AB88" s="23">
        <f>'Master Data'!AB82</f>
        <v>0</v>
      </c>
      <c r="AC88" s="23">
        <f>'Master Data'!AC82</f>
        <v>0</v>
      </c>
      <c r="AD88" s="23">
        <f>'Master Data'!AD82</f>
        <v>0</v>
      </c>
      <c r="AE88" s="23">
        <f>'Master Data'!AE82</f>
        <v>0</v>
      </c>
      <c r="AF88" s="23">
        <f>'Master Data'!AF82</f>
        <v>0</v>
      </c>
      <c r="AG88" s="23">
        <f>'Master Data'!AG82</f>
        <v>0</v>
      </c>
      <c r="AH88" s="23">
        <f>'Master Data'!AH82</f>
        <v>0</v>
      </c>
      <c r="AI88" s="23">
        <f>'Master Data'!AI82</f>
        <v>0</v>
      </c>
      <c r="AJ88" s="23">
        <f>'Master Data'!AJ82</f>
        <v>0</v>
      </c>
      <c r="AK88" s="23">
        <f>'Master Data'!AK82</f>
        <v>0</v>
      </c>
      <c r="AL88" s="23">
        <f>'Master Data'!AL82</f>
        <v>0</v>
      </c>
      <c r="AM88" s="23">
        <f>'Master Data'!AM82</f>
        <v>0</v>
      </c>
      <c r="AN88" s="23">
        <f>'Master Data'!AN82</f>
        <v>0</v>
      </c>
      <c r="AO88" s="23">
        <f>'Master Data'!AO82</f>
        <v>0</v>
      </c>
      <c r="AP88" s="23">
        <f>'Master Data'!AP82</f>
        <v>0</v>
      </c>
      <c r="AQ88" s="23">
        <f t="shared" si="16"/>
        <v>0</v>
      </c>
      <c r="AR88" s="16">
        <f t="shared" si="17"/>
        <v>0</v>
      </c>
      <c r="AS88" s="17">
        <f t="shared" si="14"/>
        <v>0</v>
      </c>
      <c r="AT88" s="16">
        <f t="shared" si="18"/>
        <v>0</v>
      </c>
    </row>
    <row r="89" spans="1:46" ht="15" customHeight="1" outlineLevel="1">
      <c r="A89" s="15" t="str">
        <f>'Master Data'!A83</f>
        <v>RATTAN OIL MILLSROZ46762</v>
      </c>
      <c r="B89" s="15" t="str">
        <f>'Master Data'!B83</f>
        <v>RT</v>
      </c>
      <c r="C89" s="15" t="str">
        <f>'Master Data'!C83</f>
        <v>RTROZ46762</v>
      </c>
      <c r="D89" s="15" t="str">
        <f>'Master Data'!D83</f>
        <v>RATTAN OIL MILLS</v>
      </c>
      <c r="E89" s="15" t="str">
        <f>'Master Data'!E83</f>
        <v>Kathua, Jammu</v>
      </c>
      <c r="F89" s="15" t="str">
        <f>'Master Data'!F83</f>
        <v>Biscuits</v>
      </c>
      <c r="G89" s="15" t="str">
        <f>'Master Data'!G83</f>
        <v>ROZ46762</v>
      </c>
      <c r="H89" s="15" t="str">
        <f>'Master Data'!H83</f>
        <v>Samuh Bourbon Biscuit 60 g</v>
      </c>
      <c r="I89" s="23">
        <f>'Master Data'!I83</f>
        <v>10</v>
      </c>
      <c r="J89" s="23">
        <f>'Master Data'!J83</f>
        <v>60</v>
      </c>
      <c r="K89" s="23">
        <f>'Master Data'!K83</f>
        <v>72</v>
      </c>
      <c r="L89" s="24">
        <f>'Master Data'!L83</f>
        <v>0</v>
      </c>
      <c r="M89" s="23">
        <f>'Master Data'!M83</f>
        <v>0</v>
      </c>
      <c r="N89" s="23">
        <f>'Master Data'!N83</f>
        <v>0</v>
      </c>
      <c r="O89" s="23">
        <f>'Master Data'!O83</f>
        <v>0</v>
      </c>
      <c r="P89" s="23">
        <f>'Master Data'!P83</f>
        <v>0</v>
      </c>
      <c r="Q89" s="23">
        <f>'Master Data'!Q83</f>
        <v>0</v>
      </c>
      <c r="R89" s="23">
        <f>'Master Data'!R83</f>
        <v>0</v>
      </c>
      <c r="S89" s="23">
        <f>'Master Data'!S83</f>
        <v>0</v>
      </c>
      <c r="T89" s="23">
        <f>'Master Data'!T83</f>
        <v>0</v>
      </c>
      <c r="U89" s="23">
        <f>'Master Data'!U83</f>
        <v>0</v>
      </c>
      <c r="V89" s="23">
        <f>'Master Data'!V83</f>
        <v>0</v>
      </c>
      <c r="W89" s="23">
        <f>'Master Data'!W83</f>
        <v>0</v>
      </c>
      <c r="X89" s="23">
        <f>'Master Data'!X83</f>
        <v>0</v>
      </c>
      <c r="Y89" s="23">
        <f>'Master Data'!Y83</f>
        <v>0</v>
      </c>
      <c r="Z89" s="23">
        <f>'Master Data'!Z83</f>
        <v>0</v>
      </c>
      <c r="AA89" s="23">
        <f>'Master Data'!AA83</f>
        <v>0</v>
      </c>
      <c r="AB89" s="23">
        <f>'Master Data'!AB83</f>
        <v>0</v>
      </c>
      <c r="AC89" s="23">
        <f>'Master Data'!AC83</f>
        <v>0</v>
      </c>
      <c r="AD89" s="23">
        <f>'Master Data'!AD83</f>
        <v>0</v>
      </c>
      <c r="AE89" s="23">
        <f>'Master Data'!AE83</f>
        <v>0</v>
      </c>
      <c r="AF89" s="23">
        <f>'Master Data'!AF83</f>
        <v>0</v>
      </c>
      <c r="AG89" s="23">
        <f>'Master Data'!AG83</f>
        <v>0</v>
      </c>
      <c r="AH89" s="23">
        <f>'Master Data'!AH83</f>
        <v>0</v>
      </c>
      <c r="AI89" s="23">
        <f>'Master Data'!AI83</f>
        <v>0</v>
      </c>
      <c r="AJ89" s="23">
        <f>'Master Data'!AJ83</f>
        <v>0</v>
      </c>
      <c r="AK89" s="23">
        <f>'Master Data'!AK83</f>
        <v>0</v>
      </c>
      <c r="AL89" s="23">
        <f>'Master Data'!AL83</f>
        <v>0</v>
      </c>
      <c r="AM89" s="23">
        <f>'Master Data'!AM83</f>
        <v>0</v>
      </c>
      <c r="AN89" s="23">
        <f>'Master Data'!AN83</f>
        <v>0</v>
      </c>
      <c r="AO89" s="23">
        <f>'Master Data'!AO83</f>
        <v>0</v>
      </c>
      <c r="AP89" s="23">
        <f>'Master Data'!AP83</f>
        <v>0</v>
      </c>
      <c r="AQ89" s="23">
        <f t="shared" si="16"/>
        <v>0</v>
      </c>
      <c r="AR89" s="16">
        <f t="shared" si="17"/>
        <v>0</v>
      </c>
      <c r="AS89" s="17">
        <f t="shared" si="14"/>
        <v>0</v>
      </c>
      <c r="AT89" s="16">
        <f t="shared" si="18"/>
        <v>0</v>
      </c>
    </row>
    <row r="90" spans="1:46" ht="15" customHeight="1" outlineLevel="1">
      <c r="A90" s="15" t="str">
        <f>'Master Data'!A84</f>
        <v>RATTAN OIL MILLSROZ50019</v>
      </c>
      <c r="B90" s="15" t="str">
        <f>'Master Data'!B84</f>
        <v>RT</v>
      </c>
      <c r="C90" s="15" t="str">
        <f>'Master Data'!C84</f>
        <v>RTROZ50019</v>
      </c>
      <c r="D90" s="15" t="str">
        <f>'Master Data'!D84</f>
        <v>RATTAN OIL MILLS</v>
      </c>
      <c r="E90" s="15" t="str">
        <f>'Master Data'!E84</f>
        <v>Kathua, Jammu</v>
      </c>
      <c r="F90" s="15" t="str">
        <f>'Master Data'!F84</f>
        <v>Biscuits</v>
      </c>
      <c r="G90" s="15" t="str">
        <f>'Master Data'!G84</f>
        <v>ROZ50019</v>
      </c>
      <c r="H90" s="15" t="str">
        <f>'Master Data'!H84</f>
        <v>Samuh Digestive Biscuit 60 g</v>
      </c>
      <c r="I90" s="23">
        <f>'Master Data'!I84</f>
        <v>10</v>
      </c>
      <c r="J90" s="23">
        <f>'Master Data'!J84</f>
        <v>60</v>
      </c>
      <c r="K90" s="23">
        <f>'Master Data'!K84</f>
        <v>72</v>
      </c>
      <c r="L90" s="24">
        <f>'Master Data'!L84</f>
        <v>0</v>
      </c>
      <c r="M90" s="23">
        <f>'Master Data'!M84</f>
        <v>0</v>
      </c>
      <c r="N90" s="23">
        <f>'Master Data'!N84</f>
        <v>0</v>
      </c>
      <c r="O90" s="23">
        <f>'Master Data'!O84</f>
        <v>0</v>
      </c>
      <c r="P90" s="23">
        <f>'Master Data'!P84</f>
        <v>0</v>
      </c>
      <c r="Q90" s="23">
        <f>'Master Data'!Q84</f>
        <v>0</v>
      </c>
      <c r="R90" s="23">
        <f>'Master Data'!R84</f>
        <v>0</v>
      </c>
      <c r="S90" s="23">
        <f>'Master Data'!S84</f>
        <v>0</v>
      </c>
      <c r="T90" s="23">
        <f>'Master Data'!T84</f>
        <v>0</v>
      </c>
      <c r="U90" s="23">
        <f>'Master Data'!U84</f>
        <v>0</v>
      </c>
      <c r="V90" s="23">
        <f>'Master Data'!V84</f>
        <v>0</v>
      </c>
      <c r="W90" s="23">
        <f>'Master Data'!W84</f>
        <v>0</v>
      </c>
      <c r="X90" s="23">
        <f>'Master Data'!X84</f>
        <v>0</v>
      </c>
      <c r="Y90" s="23">
        <f>'Master Data'!Y84</f>
        <v>0</v>
      </c>
      <c r="Z90" s="23">
        <f>'Master Data'!Z84</f>
        <v>0</v>
      </c>
      <c r="AA90" s="23">
        <f>'Master Data'!AA84</f>
        <v>0</v>
      </c>
      <c r="AB90" s="23">
        <f>'Master Data'!AB84</f>
        <v>0</v>
      </c>
      <c r="AC90" s="23">
        <f>'Master Data'!AC84</f>
        <v>0</v>
      </c>
      <c r="AD90" s="23">
        <f>'Master Data'!AD84</f>
        <v>0</v>
      </c>
      <c r="AE90" s="23">
        <f>'Master Data'!AE84</f>
        <v>0</v>
      </c>
      <c r="AF90" s="23">
        <f>'Master Data'!AF84</f>
        <v>0</v>
      </c>
      <c r="AG90" s="23">
        <f>'Master Data'!AG84</f>
        <v>0</v>
      </c>
      <c r="AH90" s="23">
        <f>'Master Data'!AH84</f>
        <v>0</v>
      </c>
      <c r="AI90" s="23">
        <f>'Master Data'!AI84</f>
        <v>0</v>
      </c>
      <c r="AJ90" s="23">
        <f>'Master Data'!AJ84</f>
        <v>0</v>
      </c>
      <c r="AK90" s="23">
        <f>'Master Data'!AK84</f>
        <v>0</v>
      </c>
      <c r="AL90" s="23">
        <f>'Master Data'!AL84</f>
        <v>0</v>
      </c>
      <c r="AM90" s="23">
        <f>'Master Data'!AM84</f>
        <v>0</v>
      </c>
      <c r="AN90" s="23">
        <f>'Master Data'!AN84</f>
        <v>0</v>
      </c>
      <c r="AO90" s="23">
        <f>'Master Data'!AO84</f>
        <v>0</v>
      </c>
      <c r="AP90" s="23">
        <f>'Master Data'!AP84</f>
        <v>0</v>
      </c>
      <c r="AQ90" s="23">
        <f t="shared" si="16"/>
        <v>0</v>
      </c>
      <c r="AR90" s="16">
        <f t="shared" si="17"/>
        <v>0</v>
      </c>
      <c r="AS90" s="17">
        <f t="shared" si="14"/>
        <v>0</v>
      </c>
      <c r="AT90" s="16">
        <f t="shared" si="18"/>
        <v>0</v>
      </c>
    </row>
    <row r="91" spans="1:46" ht="15" customHeight="1" outlineLevel="1">
      <c r="A91" s="15" t="str">
        <f>'Master Data'!A85</f>
        <v>RATTAN OIL MILLSROZ50020</v>
      </c>
      <c r="B91" s="15" t="str">
        <f>'Master Data'!B85</f>
        <v>RT</v>
      </c>
      <c r="C91" s="15" t="str">
        <f>'Master Data'!C85</f>
        <v>RTROZ50020</v>
      </c>
      <c r="D91" s="15" t="str">
        <f>'Master Data'!D85</f>
        <v>RATTAN OIL MILLS</v>
      </c>
      <c r="E91" s="15" t="str">
        <f>'Master Data'!E85</f>
        <v>Kathua, Jammu</v>
      </c>
      <c r="F91" s="15" t="str">
        <f>'Master Data'!F85</f>
        <v>Biscuits</v>
      </c>
      <c r="G91" s="15" t="str">
        <f>'Master Data'!G85</f>
        <v>ROZ50020</v>
      </c>
      <c r="H91" s="15" t="str">
        <f>'Master Data'!H85</f>
        <v xml:space="preserve">Samuh Marie Biscuit 35 g	</v>
      </c>
      <c r="I91" s="23">
        <f>'Master Data'!I85</f>
        <v>5</v>
      </c>
      <c r="J91" s="23">
        <f>'Master Data'!J85</f>
        <v>35</v>
      </c>
      <c r="K91" s="23">
        <f>'Master Data'!K85</f>
        <v>144</v>
      </c>
      <c r="L91" s="24">
        <f>'Master Data'!L85</f>
        <v>0</v>
      </c>
      <c r="M91" s="23">
        <f>'Master Data'!M85</f>
        <v>0</v>
      </c>
      <c r="N91" s="23">
        <f>'Master Data'!N85</f>
        <v>0</v>
      </c>
      <c r="O91" s="23">
        <f>'Master Data'!O85</f>
        <v>0</v>
      </c>
      <c r="P91" s="23">
        <f>'Master Data'!P85</f>
        <v>0</v>
      </c>
      <c r="Q91" s="23">
        <f>'Master Data'!Q85</f>
        <v>0</v>
      </c>
      <c r="R91" s="23">
        <f>'Master Data'!R85</f>
        <v>0</v>
      </c>
      <c r="S91" s="23">
        <f>'Master Data'!S85</f>
        <v>0</v>
      </c>
      <c r="T91" s="23">
        <f>'Master Data'!T85</f>
        <v>0</v>
      </c>
      <c r="U91" s="23">
        <f>'Master Data'!U85</f>
        <v>0</v>
      </c>
      <c r="V91" s="23">
        <f>'Master Data'!V85</f>
        <v>0</v>
      </c>
      <c r="W91" s="23">
        <f>'Master Data'!W85</f>
        <v>0</v>
      </c>
      <c r="X91" s="23">
        <f>'Master Data'!X85</f>
        <v>0</v>
      </c>
      <c r="Y91" s="23">
        <f>'Master Data'!Y85</f>
        <v>0</v>
      </c>
      <c r="Z91" s="23">
        <f>'Master Data'!Z85</f>
        <v>0</v>
      </c>
      <c r="AA91" s="23">
        <f>'Master Data'!AA85</f>
        <v>0</v>
      </c>
      <c r="AB91" s="23">
        <f>'Master Data'!AB85</f>
        <v>0</v>
      </c>
      <c r="AC91" s="23">
        <f>'Master Data'!AC85</f>
        <v>0</v>
      </c>
      <c r="AD91" s="23">
        <f>'Master Data'!AD85</f>
        <v>0</v>
      </c>
      <c r="AE91" s="23">
        <f>'Master Data'!AE85</f>
        <v>0</v>
      </c>
      <c r="AF91" s="23">
        <f>'Master Data'!AF85</f>
        <v>0</v>
      </c>
      <c r="AG91" s="23">
        <f>'Master Data'!AG85</f>
        <v>0</v>
      </c>
      <c r="AH91" s="23">
        <f>'Master Data'!AH85</f>
        <v>0</v>
      </c>
      <c r="AI91" s="23">
        <f>'Master Data'!AI85</f>
        <v>0</v>
      </c>
      <c r="AJ91" s="23">
        <f>'Master Data'!AJ85</f>
        <v>0</v>
      </c>
      <c r="AK91" s="23">
        <f>'Master Data'!AK85</f>
        <v>0</v>
      </c>
      <c r="AL91" s="23">
        <f>'Master Data'!AL85</f>
        <v>0</v>
      </c>
      <c r="AM91" s="23">
        <f>'Master Data'!AM85</f>
        <v>0</v>
      </c>
      <c r="AN91" s="23">
        <f>'Master Data'!AN85</f>
        <v>0</v>
      </c>
      <c r="AO91" s="23">
        <f>'Master Data'!AO85</f>
        <v>0</v>
      </c>
      <c r="AP91" s="23">
        <f>'Master Data'!AP85</f>
        <v>0</v>
      </c>
      <c r="AQ91" s="23">
        <f t="shared" si="16"/>
        <v>0</v>
      </c>
      <c r="AR91" s="16">
        <f t="shared" si="17"/>
        <v>0</v>
      </c>
      <c r="AS91" s="17">
        <f t="shared" si="14"/>
        <v>0</v>
      </c>
      <c r="AT91" s="16">
        <f t="shared" si="18"/>
        <v>0</v>
      </c>
    </row>
    <row r="92" spans="1:46" ht="15" customHeight="1" outlineLevel="1">
      <c r="A92" s="15" t="str">
        <f>'Master Data'!A86</f>
        <v>RATTAN OIL MILLS1</v>
      </c>
      <c r="B92" s="15" t="str">
        <f>'Master Data'!B86</f>
        <v>RT</v>
      </c>
      <c r="C92" s="15" t="str">
        <f>'Master Data'!C86</f>
        <v>RT1</v>
      </c>
      <c r="D92" s="15" t="str">
        <f>'Master Data'!D86</f>
        <v>RATTAN OIL MILLS</v>
      </c>
      <c r="E92" s="15" t="str">
        <f>'Master Data'!E86</f>
        <v>Kathua, Jammu</v>
      </c>
      <c r="F92" s="15" t="str">
        <f>'Master Data'!F86</f>
        <v>Biscuits</v>
      </c>
      <c r="G92" s="15">
        <f>'Master Data'!G86</f>
        <v>1</v>
      </c>
      <c r="H92" s="15" t="str">
        <f>'Master Data'!H86</f>
        <v>Marie 30 Rs</v>
      </c>
      <c r="I92" s="15">
        <f>'Master Data'!I86</f>
        <v>30</v>
      </c>
      <c r="J92" s="15">
        <f>'Master Data'!J86</f>
        <v>140</v>
      </c>
      <c r="K92" s="15">
        <f>'Master Data'!K86</f>
        <v>40</v>
      </c>
      <c r="L92" s="24">
        <f>'Master Data'!L86</f>
        <v>0</v>
      </c>
      <c r="M92" s="23">
        <f>'Master Data'!M86</f>
        <v>0</v>
      </c>
      <c r="N92" s="23">
        <f>'Master Data'!N86</f>
        <v>0</v>
      </c>
      <c r="O92" s="23">
        <f>'Master Data'!O86</f>
        <v>0</v>
      </c>
      <c r="P92" s="23">
        <f>'Master Data'!P86</f>
        <v>0</v>
      </c>
      <c r="Q92" s="23">
        <f>'Master Data'!Q86</f>
        <v>0</v>
      </c>
      <c r="R92" s="23">
        <f>'Master Data'!R86</f>
        <v>0</v>
      </c>
      <c r="S92" s="23">
        <f>'Master Data'!S86</f>
        <v>0</v>
      </c>
      <c r="T92" s="23">
        <f>'Master Data'!T86</f>
        <v>0</v>
      </c>
      <c r="U92" s="23">
        <f>'Master Data'!U86</f>
        <v>0</v>
      </c>
      <c r="V92" s="23">
        <f>'Master Data'!V86</f>
        <v>0</v>
      </c>
      <c r="W92" s="23">
        <f>'Master Data'!W86</f>
        <v>0</v>
      </c>
      <c r="X92" s="23">
        <f>'Master Data'!X86</f>
        <v>0</v>
      </c>
      <c r="Y92" s="23">
        <f>'Master Data'!Y86</f>
        <v>0</v>
      </c>
      <c r="Z92" s="23">
        <f>'Master Data'!Z86</f>
        <v>0</v>
      </c>
      <c r="AA92" s="23">
        <f>'Master Data'!AA86</f>
        <v>0</v>
      </c>
      <c r="AB92" s="23">
        <f>'Master Data'!AB86</f>
        <v>0</v>
      </c>
      <c r="AC92" s="23">
        <f>'Master Data'!AC86</f>
        <v>0</v>
      </c>
      <c r="AD92" s="23">
        <f>'Master Data'!AD86</f>
        <v>0</v>
      </c>
      <c r="AE92" s="23">
        <f>'Master Data'!AE86</f>
        <v>0</v>
      </c>
      <c r="AF92" s="23">
        <f>'Master Data'!AF86</f>
        <v>0</v>
      </c>
      <c r="AG92" s="23">
        <f>'Master Data'!AG86</f>
        <v>0</v>
      </c>
      <c r="AH92" s="23">
        <f>'Master Data'!AH86</f>
        <v>0</v>
      </c>
      <c r="AI92" s="23">
        <f>'Master Data'!AI86</f>
        <v>0</v>
      </c>
      <c r="AJ92" s="23">
        <f>'Master Data'!AJ86</f>
        <v>0</v>
      </c>
      <c r="AK92" s="23">
        <f>'Master Data'!AK86</f>
        <v>0</v>
      </c>
      <c r="AL92" s="23">
        <f>'Master Data'!AL86</f>
        <v>0</v>
      </c>
      <c r="AM92" s="23">
        <f>'Master Data'!AM86</f>
        <v>0</v>
      </c>
      <c r="AN92" s="23">
        <f>'Master Data'!AN86</f>
        <v>0</v>
      </c>
      <c r="AO92" s="23">
        <f>'Master Data'!AO86</f>
        <v>0</v>
      </c>
      <c r="AP92" s="23">
        <f>'Master Data'!AP86</f>
        <v>0</v>
      </c>
      <c r="AQ92" s="23">
        <f t="shared" si="16"/>
        <v>0</v>
      </c>
      <c r="AR92" s="16">
        <f t="shared" si="17"/>
        <v>0</v>
      </c>
      <c r="AS92" s="17">
        <f t="shared" si="14"/>
        <v>0</v>
      </c>
      <c r="AT92" s="16">
        <f t="shared" si="18"/>
        <v>0</v>
      </c>
    </row>
    <row r="93" spans="1:46" ht="15" customHeight="1">
      <c r="A93" s="69" t="s">
        <v>54</v>
      </c>
      <c r="B93" s="69"/>
      <c r="C93" s="69"/>
      <c r="D93" s="2"/>
      <c r="E93" s="2"/>
      <c r="F93" s="2"/>
      <c r="G93" s="2"/>
      <c r="H93" s="2"/>
      <c r="I93" s="2"/>
      <c r="J93" s="2"/>
      <c r="K93" s="2"/>
      <c r="L93" s="19">
        <f t="shared" ref="L93:AR93" si="19">SUM(L94:L95)</f>
        <v>0</v>
      </c>
      <c r="M93" s="20">
        <f t="shared" si="19"/>
        <v>0</v>
      </c>
      <c r="N93" s="20">
        <f t="shared" si="19"/>
        <v>0</v>
      </c>
      <c r="O93" s="20">
        <f t="shared" si="19"/>
        <v>0</v>
      </c>
      <c r="P93" s="20">
        <f t="shared" si="19"/>
        <v>0</v>
      </c>
      <c r="Q93" s="20">
        <f t="shared" si="19"/>
        <v>0</v>
      </c>
      <c r="R93" s="20">
        <f t="shared" si="19"/>
        <v>0</v>
      </c>
      <c r="S93" s="20">
        <f t="shared" si="19"/>
        <v>0</v>
      </c>
      <c r="T93" s="20">
        <f t="shared" si="19"/>
        <v>0</v>
      </c>
      <c r="U93" s="20">
        <f t="shared" si="19"/>
        <v>0</v>
      </c>
      <c r="V93" s="20">
        <f t="shared" si="19"/>
        <v>0</v>
      </c>
      <c r="W93" s="20">
        <f t="shared" si="19"/>
        <v>0</v>
      </c>
      <c r="X93" s="20">
        <f t="shared" si="19"/>
        <v>0</v>
      </c>
      <c r="Y93" s="20">
        <f t="shared" si="19"/>
        <v>0</v>
      </c>
      <c r="Z93" s="20">
        <f t="shared" si="19"/>
        <v>0</v>
      </c>
      <c r="AA93" s="20">
        <f t="shared" si="19"/>
        <v>0</v>
      </c>
      <c r="AB93" s="20">
        <f t="shared" si="19"/>
        <v>0</v>
      </c>
      <c r="AC93" s="20">
        <f t="shared" si="19"/>
        <v>0</v>
      </c>
      <c r="AD93" s="20">
        <f t="shared" si="19"/>
        <v>0</v>
      </c>
      <c r="AE93" s="20">
        <f t="shared" si="19"/>
        <v>0</v>
      </c>
      <c r="AF93" s="20">
        <f t="shared" si="19"/>
        <v>0</v>
      </c>
      <c r="AG93" s="20">
        <f t="shared" si="19"/>
        <v>0</v>
      </c>
      <c r="AH93" s="20">
        <f t="shared" si="19"/>
        <v>0</v>
      </c>
      <c r="AI93" s="20">
        <f t="shared" si="19"/>
        <v>0</v>
      </c>
      <c r="AJ93" s="20">
        <f t="shared" si="19"/>
        <v>0</v>
      </c>
      <c r="AK93" s="20">
        <f t="shared" si="19"/>
        <v>0</v>
      </c>
      <c r="AL93" s="20">
        <f t="shared" si="19"/>
        <v>0</v>
      </c>
      <c r="AM93" s="20">
        <f t="shared" si="19"/>
        <v>0</v>
      </c>
      <c r="AN93" s="20">
        <f t="shared" si="19"/>
        <v>0</v>
      </c>
      <c r="AO93" s="20">
        <f t="shared" si="19"/>
        <v>0</v>
      </c>
      <c r="AP93" s="20">
        <f t="shared" si="19"/>
        <v>0</v>
      </c>
      <c r="AQ93" s="20">
        <f t="shared" si="19"/>
        <v>0</v>
      </c>
      <c r="AR93" s="21">
        <f t="shared" si="19"/>
        <v>0</v>
      </c>
      <c r="AS93" s="22">
        <f t="shared" si="14"/>
        <v>0</v>
      </c>
      <c r="AT93" s="21">
        <f>SUM(AT94:AT95)</f>
        <v>0</v>
      </c>
    </row>
    <row r="94" spans="1:46" ht="15" customHeight="1" outlineLevel="1">
      <c r="A94" s="15" t="str">
        <f>'Master Data'!A87</f>
        <v>Meera BakerROZ23760</v>
      </c>
      <c r="B94" s="15" t="str">
        <f>'Master Data'!B87</f>
        <v>MB</v>
      </c>
      <c r="C94" s="15" t="str">
        <f>'Master Data'!C87</f>
        <v>MBROZ23760</v>
      </c>
      <c r="D94" s="15" t="str">
        <f>'Master Data'!D87</f>
        <v>Meera Baker</v>
      </c>
      <c r="E94" s="15" t="str">
        <f>'Master Data'!E87</f>
        <v>Kanpur</v>
      </c>
      <c r="F94" s="15" t="str">
        <f>'Master Data'!F87</f>
        <v>Rusk</v>
      </c>
      <c r="G94" s="15" t="str">
        <f>'Master Data'!G87</f>
        <v>ROZ23760</v>
      </c>
      <c r="H94" s="15" t="str">
        <f>'Master Data'!H87</f>
        <v>Samuh Elaichi Rusk 130 g</v>
      </c>
      <c r="I94" s="23">
        <f>'Master Data'!I87</f>
        <v>20</v>
      </c>
      <c r="J94" s="23">
        <f>'Master Data'!J87</f>
        <v>130</v>
      </c>
      <c r="K94" s="23">
        <f>'Master Data'!K87</f>
        <v>24</v>
      </c>
      <c r="L94" s="24">
        <f>'Master Data'!L87</f>
        <v>0</v>
      </c>
      <c r="M94" s="23">
        <f>'Master Data'!M87</f>
        <v>0</v>
      </c>
      <c r="N94" s="23">
        <f>'Master Data'!N87</f>
        <v>0</v>
      </c>
      <c r="O94" s="23">
        <f>'Master Data'!O87</f>
        <v>0</v>
      </c>
      <c r="P94" s="23">
        <f>'Master Data'!P87</f>
        <v>0</v>
      </c>
      <c r="Q94" s="23">
        <f>'Master Data'!Q87</f>
        <v>0</v>
      </c>
      <c r="R94" s="23">
        <f>'Master Data'!R87</f>
        <v>0</v>
      </c>
      <c r="S94" s="23">
        <f>'Master Data'!S87</f>
        <v>0</v>
      </c>
      <c r="T94" s="23">
        <f>'Master Data'!T87</f>
        <v>0</v>
      </c>
      <c r="U94" s="23">
        <f>'Master Data'!U87</f>
        <v>0</v>
      </c>
      <c r="V94" s="23">
        <f>'Master Data'!V87</f>
        <v>0</v>
      </c>
      <c r="W94" s="23">
        <f>'Master Data'!W87</f>
        <v>0</v>
      </c>
      <c r="X94" s="23">
        <f>'Master Data'!X87</f>
        <v>0</v>
      </c>
      <c r="Y94" s="23">
        <f>'Master Data'!Y87</f>
        <v>0</v>
      </c>
      <c r="Z94" s="23">
        <f>'Master Data'!Z87</f>
        <v>0</v>
      </c>
      <c r="AA94" s="23">
        <f>'Master Data'!AA87</f>
        <v>0</v>
      </c>
      <c r="AB94" s="23">
        <f>'Master Data'!AB87</f>
        <v>0</v>
      </c>
      <c r="AC94" s="23">
        <f>'Master Data'!AC87</f>
        <v>0</v>
      </c>
      <c r="AD94" s="23">
        <f>'Master Data'!AD87</f>
        <v>0</v>
      </c>
      <c r="AE94" s="23">
        <f>'Master Data'!AE87</f>
        <v>0</v>
      </c>
      <c r="AF94" s="23">
        <f>'Master Data'!AF87</f>
        <v>0</v>
      </c>
      <c r="AG94" s="23">
        <f>'Master Data'!AG87</f>
        <v>0</v>
      </c>
      <c r="AH94" s="23">
        <f>'Master Data'!AH87</f>
        <v>0</v>
      </c>
      <c r="AI94" s="23">
        <f>'Master Data'!AI87</f>
        <v>0</v>
      </c>
      <c r="AJ94" s="23">
        <f>'Master Data'!AJ87</f>
        <v>0</v>
      </c>
      <c r="AK94" s="23">
        <f>'Master Data'!AK87</f>
        <v>0</v>
      </c>
      <c r="AL94" s="23">
        <f>'Master Data'!AL87</f>
        <v>0</v>
      </c>
      <c r="AM94" s="23">
        <f>'Master Data'!AM87</f>
        <v>0</v>
      </c>
      <c r="AN94" s="23">
        <f>'Master Data'!AN87</f>
        <v>0</v>
      </c>
      <c r="AO94" s="23">
        <f>'Master Data'!AO87</f>
        <v>0</v>
      </c>
      <c r="AP94" s="23">
        <f>'Master Data'!AP87</f>
        <v>0</v>
      </c>
      <c r="AQ94" s="23">
        <f>SUM(M94:AP94)</f>
        <v>0</v>
      </c>
      <c r="AR94" s="16">
        <f>(AQ94*J94*K94)/1000000</f>
        <v>0</v>
      </c>
      <c r="AS94" s="17">
        <f t="shared" si="14"/>
        <v>0</v>
      </c>
      <c r="AT94" s="16">
        <f>L94-AR94</f>
        <v>0</v>
      </c>
    </row>
    <row r="95" spans="1:46" ht="15" customHeight="1" outlineLevel="1">
      <c r="A95" s="15" t="str">
        <f>'Master Data'!A88</f>
        <v>Meera BakerROZ23759</v>
      </c>
      <c r="B95" s="15" t="str">
        <f>'Master Data'!B88</f>
        <v>MB</v>
      </c>
      <c r="C95" s="15" t="str">
        <f>'Master Data'!C88</f>
        <v>MBROZ23759</v>
      </c>
      <c r="D95" s="15" t="str">
        <f>'Master Data'!D88</f>
        <v>Meera Baker</v>
      </c>
      <c r="E95" s="15" t="str">
        <f>'Master Data'!E88</f>
        <v>Kanpur</v>
      </c>
      <c r="F95" s="15" t="str">
        <f>'Master Data'!F88</f>
        <v>Rusk</v>
      </c>
      <c r="G95" s="15" t="str">
        <f>'Master Data'!G88</f>
        <v>ROZ23759</v>
      </c>
      <c r="H95" s="15" t="str">
        <f>'Master Data'!H88</f>
        <v>Samuh Elaichi Rusk 65 g</v>
      </c>
      <c r="I95" s="23">
        <f>'Master Data'!I88</f>
        <v>10</v>
      </c>
      <c r="J95" s="23">
        <f>'Master Data'!J88</f>
        <v>65</v>
      </c>
      <c r="K95" s="23">
        <f>'Master Data'!K88</f>
        <v>24</v>
      </c>
      <c r="L95" s="24">
        <f>'Master Data'!L88</f>
        <v>0</v>
      </c>
      <c r="M95" s="23">
        <f>'Master Data'!M88</f>
        <v>0</v>
      </c>
      <c r="N95" s="23">
        <f>'Master Data'!N88</f>
        <v>0</v>
      </c>
      <c r="O95" s="23">
        <f>'Master Data'!O88</f>
        <v>0</v>
      </c>
      <c r="P95" s="23">
        <f>'Master Data'!P88</f>
        <v>0</v>
      </c>
      <c r="Q95" s="23">
        <f>'Master Data'!Q88</f>
        <v>0</v>
      </c>
      <c r="R95" s="23">
        <f>'Master Data'!R88</f>
        <v>0</v>
      </c>
      <c r="S95" s="23">
        <f>'Master Data'!S88</f>
        <v>0</v>
      </c>
      <c r="T95" s="23">
        <f>'Master Data'!T88</f>
        <v>0</v>
      </c>
      <c r="U95" s="23">
        <f>'Master Data'!U88</f>
        <v>0</v>
      </c>
      <c r="V95" s="23">
        <f>'Master Data'!V88</f>
        <v>0</v>
      </c>
      <c r="W95" s="23">
        <f>'Master Data'!W88</f>
        <v>0</v>
      </c>
      <c r="X95" s="23">
        <f>'Master Data'!X88</f>
        <v>0</v>
      </c>
      <c r="Y95" s="23">
        <f>'Master Data'!Y88</f>
        <v>0</v>
      </c>
      <c r="Z95" s="23">
        <f>'Master Data'!Z88</f>
        <v>0</v>
      </c>
      <c r="AA95" s="23">
        <f>'Master Data'!AA88</f>
        <v>0</v>
      </c>
      <c r="AB95" s="23">
        <f>'Master Data'!AB88</f>
        <v>0</v>
      </c>
      <c r="AC95" s="23">
        <f>'Master Data'!AC88</f>
        <v>0</v>
      </c>
      <c r="AD95" s="23">
        <f>'Master Data'!AD88</f>
        <v>0</v>
      </c>
      <c r="AE95" s="23">
        <f>'Master Data'!AE88</f>
        <v>0</v>
      </c>
      <c r="AF95" s="23">
        <f>'Master Data'!AF88</f>
        <v>0</v>
      </c>
      <c r="AG95" s="23">
        <f>'Master Data'!AG88</f>
        <v>0</v>
      </c>
      <c r="AH95" s="23">
        <f>'Master Data'!AH88</f>
        <v>0</v>
      </c>
      <c r="AI95" s="23">
        <f>'Master Data'!AI88</f>
        <v>0</v>
      </c>
      <c r="AJ95" s="23">
        <f>'Master Data'!AJ88</f>
        <v>0</v>
      </c>
      <c r="AK95" s="23">
        <f>'Master Data'!AK88</f>
        <v>0</v>
      </c>
      <c r="AL95" s="23">
        <f>'Master Data'!AL88</f>
        <v>0</v>
      </c>
      <c r="AM95" s="23">
        <f>'Master Data'!AM88</f>
        <v>0</v>
      </c>
      <c r="AN95" s="23">
        <f>'Master Data'!AN88</f>
        <v>0</v>
      </c>
      <c r="AO95" s="23">
        <f>'Master Data'!AO88</f>
        <v>0</v>
      </c>
      <c r="AP95" s="23">
        <f>'Master Data'!AP88</f>
        <v>0</v>
      </c>
      <c r="AQ95" s="23">
        <f>SUM(M95:AP95)</f>
        <v>0</v>
      </c>
      <c r="AR95" s="16">
        <f>(AQ95*J95*K95)/1000000</f>
        <v>0</v>
      </c>
      <c r="AS95" s="17">
        <f t="shared" si="14"/>
        <v>0</v>
      </c>
      <c r="AT95" s="16">
        <f>L95-AR95</f>
        <v>0</v>
      </c>
    </row>
    <row r="96" spans="1:46" ht="15" customHeight="1">
      <c r="A96" s="69" t="s">
        <v>55</v>
      </c>
      <c r="B96" s="69"/>
      <c r="C96" s="69"/>
      <c r="D96" s="2"/>
      <c r="E96" s="2"/>
      <c r="F96" s="2"/>
      <c r="G96" s="2"/>
      <c r="H96" s="2"/>
      <c r="I96" s="2"/>
      <c r="J96" s="2"/>
      <c r="K96" s="2"/>
      <c r="L96" s="19">
        <f t="shared" ref="L96:AR96" si="20">SUM(L97:L98)</f>
        <v>12</v>
      </c>
      <c r="M96" s="20">
        <f t="shared" si="20"/>
        <v>0</v>
      </c>
      <c r="N96" s="20">
        <f t="shared" si="20"/>
        <v>0</v>
      </c>
      <c r="O96" s="20">
        <f t="shared" si="20"/>
        <v>0</v>
      </c>
      <c r="P96" s="20">
        <f t="shared" si="20"/>
        <v>0</v>
      </c>
      <c r="Q96" s="20">
        <f t="shared" si="20"/>
        <v>0</v>
      </c>
      <c r="R96" s="20">
        <f t="shared" si="20"/>
        <v>0</v>
      </c>
      <c r="S96" s="20">
        <f t="shared" si="20"/>
        <v>0</v>
      </c>
      <c r="T96" s="20">
        <f t="shared" si="20"/>
        <v>0</v>
      </c>
      <c r="U96" s="20">
        <f t="shared" si="20"/>
        <v>0</v>
      </c>
      <c r="V96" s="20">
        <f t="shared" si="20"/>
        <v>0</v>
      </c>
      <c r="W96" s="20">
        <f t="shared" si="20"/>
        <v>0</v>
      </c>
      <c r="X96" s="20">
        <f t="shared" si="20"/>
        <v>0</v>
      </c>
      <c r="Y96" s="20">
        <f t="shared" si="20"/>
        <v>0</v>
      </c>
      <c r="Z96" s="20">
        <f t="shared" si="20"/>
        <v>0</v>
      </c>
      <c r="AA96" s="20">
        <f t="shared" si="20"/>
        <v>0</v>
      </c>
      <c r="AB96" s="20">
        <f t="shared" si="20"/>
        <v>0</v>
      </c>
      <c r="AC96" s="20">
        <f t="shared" si="20"/>
        <v>0</v>
      </c>
      <c r="AD96" s="20">
        <f t="shared" si="20"/>
        <v>0</v>
      </c>
      <c r="AE96" s="20">
        <f t="shared" si="20"/>
        <v>0</v>
      </c>
      <c r="AF96" s="20">
        <f t="shared" si="20"/>
        <v>0</v>
      </c>
      <c r="AG96" s="20">
        <f t="shared" si="20"/>
        <v>0</v>
      </c>
      <c r="AH96" s="20">
        <f t="shared" si="20"/>
        <v>0</v>
      </c>
      <c r="AI96" s="20">
        <f t="shared" si="20"/>
        <v>0</v>
      </c>
      <c r="AJ96" s="20">
        <f t="shared" si="20"/>
        <v>0</v>
      </c>
      <c r="AK96" s="20">
        <f t="shared" si="20"/>
        <v>0</v>
      </c>
      <c r="AL96" s="20">
        <f t="shared" si="20"/>
        <v>0</v>
      </c>
      <c r="AM96" s="20">
        <f t="shared" si="20"/>
        <v>0</v>
      </c>
      <c r="AN96" s="20">
        <f t="shared" si="20"/>
        <v>0</v>
      </c>
      <c r="AO96" s="20">
        <f t="shared" si="20"/>
        <v>0</v>
      </c>
      <c r="AP96" s="20">
        <f t="shared" si="20"/>
        <v>0</v>
      </c>
      <c r="AQ96" s="20">
        <f t="shared" si="20"/>
        <v>0</v>
      </c>
      <c r="AR96" s="21">
        <f t="shared" si="20"/>
        <v>0</v>
      </c>
      <c r="AS96" s="22">
        <f t="shared" si="14"/>
        <v>0</v>
      </c>
      <c r="AT96" s="21">
        <f>SUM(AT97:AT98)</f>
        <v>12</v>
      </c>
    </row>
    <row r="97" spans="1:46" ht="15" customHeight="1" outlineLevel="1">
      <c r="A97" s="15" t="str">
        <f>'Master Data'!A89</f>
        <v>DEVARPAN FOODS PRIVATE LIMITEDROZ23760</v>
      </c>
      <c r="B97" s="15" t="str">
        <f>'Master Data'!B89</f>
        <v>DP</v>
      </c>
      <c r="C97" s="15" t="str">
        <f>'Master Data'!C89</f>
        <v>DPROZ23760</v>
      </c>
      <c r="D97" s="15" t="str">
        <f>'Master Data'!D89</f>
        <v>DEVARPAN FOODS PRIVATE LIMITED</v>
      </c>
      <c r="E97" s="15" t="str">
        <f>'Master Data'!E89</f>
        <v>Kashipur</v>
      </c>
      <c r="F97" s="15" t="str">
        <f>'Master Data'!F89</f>
        <v>Rusk</v>
      </c>
      <c r="G97" s="15" t="str">
        <f>'Master Data'!G89</f>
        <v>ROZ23760</v>
      </c>
      <c r="H97" s="15" t="str">
        <f>'Master Data'!H89</f>
        <v>Samuh Elaichi Rusk 130 g</v>
      </c>
      <c r="I97" s="23">
        <f>'Master Data'!I89</f>
        <v>20</v>
      </c>
      <c r="J97" s="23">
        <f>'Master Data'!J89</f>
        <v>130</v>
      </c>
      <c r="K97" s="23">
        <f>'Master Data'!K89</f>
        <v>24</v>
      </c>
      <c r="L97" s="24">
        <v>4</v>
      </c>
      <c r="M97" s="23">
        <f>'Master Data'!M89</f>
        <v>0</v>
      </c>
      <c r="N97" s="23">
        <f>'Master Data'!N89</f>
        <v>0</v>
      </c>
      <c r="O97" s="23">
        <f>'Master Data'!O89</f>
        <v>0</v>
      </c>
      <c r="P97" s="23">
        <f>'Master Data'!P89</f>
        <v>0</v>
      </c>
      <c r="Q97" s="23">
        <f>'Master Data'!Q89</f>
        <v>0</v>
      </c>
      <c r="R97" s="23">
        <f>'Master Data'!R89</f>
        <v>0</v>
      </c>
      <c r="S97" s="23">
        <f>'Master Data'!S89</f>
        <v>0</v>
      </c>
      <c r="T97" s="23">
        <f>'Master Data'!T89</f>
        <v>0</v>
      </c>
      <c r="U97" s="23">
        <f>'Master Data'!U89</f>
        <v>0</v>
      </c>
      <c r="V97" s="23">
        <f>'Master Data'!V89</f>
        <v>0</v>
      </c>
      <c r="W97" s="23">
        <f>'Master Data'!W89</f>
        <v>0</v>
      </c>
      <c r="X97" s="23">
        <f>'Master Data'!X89</f>
        <v>0</v>
      </c>
      <c r="Y97" s="23">
        <f>'Master Data'!Y89</f>
        <v>0</v>
      </c>
      <c r="Z97" s="23">
        <f>'Master Data'!Z89</f>
        <v>0</v>
      </c>
      <c r="AA97" s="23">
        <f>'Master Data'!AA89</f>
        <v>0</v>
      </c>
      <c r="AB97" s="23">
        <f>'Master Data'!AB89</f>
        <v>0</v>
      </c>
      <c r="AC97" s="23">
        <f>'Master Data'!AC89</f>
        <v>0</v>
      </c>
      <c r="AD97" s="23">
        <f>'Master Data'!AD89</f>
        <v>0</v>
      </c>
      <c r="AE97" s="23">
        <f>'Master Data'!AE89</f>
        <v>0</v>
      </c>
      <c r="AF97" s="23">
        <f>'Master Data'!AF89</f>
        <v>0</v>
      </c>
      <c r="AG97" s="23">
        <f>'Master Data'!AG89</f>
        <v>0</v>
      </c>
      <c r="AH97" s="23">
        <f>'Master Data'!AH89</f>
        <v>0</v>
      </c>
      <c r="AI97" s="23">
        <f>'Master Data'!AI89</f>
        <v>0</v>
      </c>
      <c r="AJ97" s="23">
        <f>'Master Data'!AJ89</f>
        <v>0</v>
      </c>
      <c r="AK97" s="23">
        <f>'Master Data'!AK89</f>
        <v>0</v>
      </c>
      <c r="AL97" s="23">
        <f>'Master Data'!AL89</f>
        <v>0</v>
      </c>
      <c r="AM97" s="23">
        <f>'Master Data'!AM89</f>
        <v>0</v>
      </c>
      <c r="AN97" s="23">
        <f>'Master Data'!AN89</f>
        <v>0</v>
      </c>
      <c r="AO97" s="23">
        <f>'Master Data'!AO89</f>
        <v>0</v>
      </c>
      <c r="AP97" s="23">
        <f>'Master Data'!AP89</f>
        <v>0</v>
      </c>
      <c r="AQ97" s="23">
        <f>SUM(M97:AP97)</f>
        <v>0</v>
      </c>
      <c r="AR97" s="16">
        <f>(AQ97*J97*K97)/1000000</f>
        <v>0</v>
      </c>
      <c r="AS97" s="17">
        <f t="shared" si="14"/>
        <v>0</v>
      </c>
      <c r="AT97" s="16">
        <f>L97-AR97</f>
        <v>4</v>
      </c>
    </row>
    <row r="98" spans="1:46" ht="15" customHeight="1" outlineLevel="1">
      <c r="A98" s="15" t="str">
        <f>'Master Data'!A90</f>
        <v>DEVARPAN FOODS PRIVATE LIMITEDROZ23759</v>
      </c>
      <c r="B98" s="15" t="str">
        <f>'Master Data'!B90</f>
        <v>DP</v>
      </c>
      <c r="C98" s="15" t="str">
        <f>'Master Data'!C90</f>
        <v>DPROZ23759</v>
      </c>
      <c r="D98" s="15" t="str">
        <f>'Master Data'!D90</f>
        <v>DEVARPAN FOODS PRIVATE LIMITED</v>
      </c>
      <c r="E98" s="15" t="str">
        <f>'Master Data'!E90</f>
        <v>Kashipur</v>
      </c>
      <c r="F98" s="15" t="str">
        <f>'Master Data'!F90</f>
        <v>Rusk</v>
      </c>
      <c r="G98" s="15" t="str">
        <f>'Master Data'!G90</f>
        <v>ROZ23759</v>
      </c>
      <c r="H98" s="15" t="str">
        <f>'Master Data'!H90</f>
        <v>Samuh Elaichi Rusk 65 g</v>
      </c>
      <c r="I98" s="23">
        <f>'Master Data'!I90</f>
        <v>10</v>
      </c>
      <c r="J98" s="23">
        <f>'Master Data'!J90</f>
        <v>65</v>
      </c>
      <c r="K98" s="23">
        <f>'Master Data'!K90</f>
        <v>24</v>
      </c>
      <c r="L98" s="24">
        <v>8</v>
      </c>
      <c r="M98" s="23">
        <f>'Master Data'!M90</f>
        <v>0</v>
      </c>
      <c r="N98" s="23">
        <f>'Master Data'!N90</f>
        <v>0</v>
      </c>
      <c r="O98" s="23">
        <f>'Master Data'!O90</f>
        <v>0</v>
      </c>
      <c r="P98" s="23">
        <f>'Master Data'!P90</f>
        <v>0</v>
      </c>
      <c r="Q98" s="23">
        <f>'Master Data'!Q90</f>
        <v>0</v>
      </c>
      <c r="R98" s="23">
        <f>'Master Data'!R90</f>
        <v>0</v>
      </c>
      <c r="S98" s="23">
        <f>'Master Data'!S90</f>
        <v>0</v>
      </c>
      <c r="T98" s="23">
        <f>'Master Data'!T90</f>
        <v>0</v>
      </c>
      <c r="U98" s="23">
        <f>'Master Data'!U90</f>
        <v>0</v>
      </c>
      <c r="V98" s="23">
        <f>'Master Data'!V90</f>
        <v>0</v>
      </c>
      <c r="W98" s="23">
        <f>'Master Data'!W90</f>
        <v>0</v>
      </c>
      <c r="X98" s="23">
        <f>'Master Data'!X90</f>
        <v>0</v>
      </c>
      <c r="Y98" s="23">
        <f>'Master Data'!Y90</f>
        <v>0</v>
      </c>
      <c r="Z98" s="23">
        <f>'Master Data'!Z90</f>
        <v>0</v>
      </c>
      <c r="AA98" s="23">
        <f>'Master Data'!AA90</f>
        <v>0</v>
      </c>
      <c r="AB98" s="23">
        <f>'Master Data'!AB90</f>
        <v>0</v>
      </c>
      <c r="AC98" s="23">
        <f>'Master Data'!AC90</f>
        <v>0</v>
      </c>
      <c r="AD98" s="23">
        <f>'Master Data'!AD90</f>
        <v>0</v>
      </c>
      <c r="AE98" s="23">
        <f>'Master Data'!AE90</f>
        <v>0</v>
      </c>
      <c r="AF98" s="23">
        <f>'Master Data'!AF90</f>
        <v>0</v>
      </c>
      <c r="AG98" s="23">
        <f>'Master Data'!AG90</f>
        <v>0</v>
      </c>
      <c r="AH98" s="23">
        <f>'Master Data'!AH90</f>
        <v>0</v>
      </c>
      <c r="AI98" s="23">
        <f>'Master Data'!AI90</f>
        <v>0</v>
      </c>
      <c r="AJ98" s="23">
        <f>'Master Data'!AJ90</f>
        <v>0</v>
      </c>
      <c r="AK98" s="23">
        <f>'Master Data'!AK90</f>
        <v>0</v>
      </c>
      <c r="AL98" s="23">
        <f>'Master Data'!AL90</f>
        <v>0</v>
      </c>
      <c r="AM98" s="23">
        <f>'Master Data'!AM90</f>
        <v>0</v>
      </c>
      <c r="AN98" s="23">
        <f>'Master Data'!AN90</f>
        <v>0</v>
      </c>
      <c r="AO98" s="23">
        <f>'Master Data'!AO90</f>
        <v>0</v>
      </c>
      <c r="AP98" s="23">
        <f>'Master Data'!AP90</f>
        <v>0</v>
      </c>
      <c r="AQ98" s="23">
        <f>SUM(M98:AP98)</f>
        <v>0</v>
      </c>
      <c r="AR98" s="16">
        <f>(AQ98*J98*K98)/1000000</f>
        <v>0</v>
      </c>
      <c r="AS98" s="17">
        <f t="shared" si="14"/>
        <v>0</v>
      </c>
      <c r="AT98" s="16">
        <f>L98-AR98</f>
        <v>8</v>
      </c>
    </row>
    <row r="99" spans="1:46" ht="15" customHeight="1">
      <c r="A99" s="69" t="s">
        <v>56</v>
      </c>
      <c r="B99" s="69"/>
      <c r="C99" s="69"/>
      <c r="D99" s="2"/>
      <c r="E99" s="2"/>
      <c r="F99" s="2"/>
      <c r="G99" s="2"/>
      <c r="H99" s="2"/>
      <c r="I99" s="2"/>
      <c r="J99" s="2"/>
      <c r="K99" s="2"/>
      <c r="L99" s="19">
        <f t="shared" ref="L99:AR99" si="21">SUM(L100:L101)</f>
        <v>0</v>
      </c>
      <c r="M99" s="20">
        <f t="shared" si="21"/>
        <v>0</v>
      </c>
      <c r="N99" s="20">
        <f t="shared" si="21"/>
        <v>0</v>
      </c>
      <c r="O99" s="20">
        <f t="shared" si="21"/>
        <v>0</v>
      </c>
      <c r="P99" s="20">
        <f t="shared" si="21"/>
        <v>0</v>
      </c>
      <c r="Q99" s="20">
        <f t="shared" si="21"/>
        <v>0</v>
      </c>
      <c r="R99" s="20">
        <f t="shared" si="21"/>
        <v>0</v>
      </c>
      <c r="S99" s="20">
        <f t="shared" si="21"/>
        <v>0</v>
      </c>
      <c r="T99" s="20">
        <f t="shared" si="21"/>
        <v>0</v>
      </c>
      <c r="U99" s="20">
        <f t="shared" si="21"/>
        <v>0</v>
      </c>
      <c r="V99" s="20">
        <f t="shared" si="21"/>
        <v>0</v>
      </c>
      <c r="W99" s="20">
        <f t="shared" si="21"/>
        <v>0</v>
      </c>
      <c r="X99" s="20">
        <f t="shared" si="21"/>
        <v>0</v>
      </c>
      <c r="Y99" s="20">
        <f t="shared" si="21"/>
        <v>0</v>
      </c>
      <c r="Z99" s="20">
        <f t="shared" si="21"/>
        <v>0</v>
      </c>
      <c r="AA99" s="20">
        <f t="shared" si="21"/>
        <v>0</v>
      </c>
      <c r="AB99" s="20">
        <f t="shared" si="21"/>
        <v>0</v>
      </c>
      <c r="AC99" s="20">
        <f t="shared" si="21"/>
        <v>0</v>
      </c>
      <c r="AD99" s="20">
        <f t="shared" si="21"/>
        <v>0</v>
      </c>
      <c r="AE99" s="20">
        <f t="shared" si="21"/>
        <v>0</v>
      </c>
      <c r="AF99" s="20">
        <f t="shared" si="21"/>
        <v>0</v>
      </c>
      <c r="AG99" s="20">
        <f t="shared" si="21"/>
        <v>0</v>
      </c>
      <c r="AH99" s="20">
        <f t="shared" si="21"/>
        <v>0</v>
      </c>
      <c r="AI99" s="20">
        <f t="shared" si="21"/>
        <v>0</v>
      </c>
      <c r="AJ99" s="20">
        <f t="shared" si="21"/>
        <v>0</v>
      </c>
      <c r="AK99" s="20">
        <f t="shared" si="21"/>
        <v>0</v>
      </c>
      <c r="AL99" s="20">
        <f t="shared" si="21"/>
        <v>0</v>
      </c>
      <c r="AM99" s="20">
        <f t="shared" si="21"/>
        <v>0</v>
      </c>
      <c r="AN99" s="20">
        <f t="shared" si="21"/>
        <v>0</v>
      </c>
      <c r="AO99" s="20">
        <f t="shared" si="21"/>
        <v>0</v>
      </c>
      <c r="AP99" s="20">
        <f t="shared" si="21"/>
        <v>0</v>
      </c>
      <c r="AQ99" s="20">
        <f t="shared" si="21"/>
        <v>0</v>
      </c>
      <c r="AR99" s="21">
        <f t="shared" si="21"/>
        <v>0</v>
      </c>
      <c r="AS99" s="22">
        <f t="shared" si="14"/>
        <v>0</v>
      </c>
      <c r="AT99" s="21">
        <f>SUM(AT100:AT101)</f>
        <v>0</v>
      </c>
    </row>
    <row r="100" spans="1:46" ht="15" customHeight="1" outlineLevel="1">
      <c r="A100" s="15" t="str">
        <f>'Master Data'!A91</f>
        <v>SaharnpurROZ23760</v>
      </c>
      <c r="B100" s="15" t="str">
        <f>'Master Data'!B91</f>
        <v>SH</v>
      </c>
      <c r="C100" s="15" t="str">
        <f>'Master Data'!C91</f>
        <v>SHROZ23760</v>
      </c>
      <c r="D100" s="15" t="str">
        <f>'Master Data'!D91</f>
        <v>Saharnpur</v>
      </c>
      <c r="E100" s="15" t="str">
        <f>'Master Data'!E91</f>
        <v>Shubham Enterprises</v>
      </c>
      <c r="F100" s="15" t="str">
        <f>'Master Data'!F91</f>
        <v>Rusk</v>
      </c>
      <c r="G100" s="15" t="str">
        <f>'Master Data'!G91</f>
        <v>ROZ23760</v>
      </c>
      <c r="H100" s="15" t="str">
        <f>'Master Data'!H91</f>
        <v>Samuh Elaichi Rusk 130 g</v>
      </c>
      <c r="I100" s="23">
        <f>'Master Data'!I91</f>
        <v>20</v>
      </c>
      <c r="J100" s="15">
        <f>'Master Data'!J91</f>
        <v>130</v>
      </c>
      <c r="K100" s="23">
        <f>'Master Data'!K91</f>
        <v>36</v>
      </c>
      <c r="L100" s="24">
        <f>'Master Data'!L91</f>
        <v>0</v>
      </c>
      <c r="M100" s="23">
        <f>'Master Data'!M91</f>
        <v>0</v>
      </c>
      <c r="N100" s="23">
        <f>'Master Data'!N91</f>
        <v>0</v>
      </c>
      <c r="O100" s="23">
        <f>'Master Data'!O91</f>
        <v>0</v>
      </c>
      <c r="P100" s="23">
        <f>'Master Data'!P91</f>
        <v>0</v>
      </c>
      <c r="Q100" s="23">
        <f>'Master Data'!Q91</f>
        <v>0</v>
      </c>
      <c r="R100" s="23">
        <f>'Master Data'!R91</f>
        <v>0</v>
      </c>
      <c r="S100" s="23">
        <f>'Master Data'!S91</f>
        <v>0</v>
      </c>
      <c r="T100" s="23">
        <f>'Master Data'!T91</f>
        <v>0</v>
      </c>
      <c r="U100" s="23">
        <f>'Master Data'!U91</f>
        <v>0</v>
      </c>
      <c r="V100" s="23">
        <f>'Master Data'!V91</f>
        <v>0</v>
      </c>
      <c r="W100" s="23">
        <f>'Master Data'!W91</f>
        <v>0</v>
      </c>
      <c r="X100" s="23">
        <f>'Master Data'!X91</f>
        <v>0</v>
      </c>
      <c r="Y100" s="23">
        <f>'Master Data'!Y91</f>
        <v>0</v>
      </c>
      <c r="Z100" s="23">
        <f>'Master Data'!Z91</f>
        <v>0</v>
      </c>
      <c r="AA100" s="23">
        <f>'Master Data'!AA91</f>
        <v>0</v>
      </c>
      <c r="AB100" s="23">
        <f>'Master Data'!AB91</f>
        <v>0</v>
      </c>
      <c r="AC100" s="23">
        <f>'Master Data'!AC91</f>
        <v>0</v>
      </c>
      <c r="AD100" s="23">
        <f>'Master Data'!AD91</f>
        <v>0</v>
      </c>
      <c r="AE100" s="23">
        <f>'Master Data'!AE91</f>
        <v>0</v>
      </c>
      <c r="AF100" s="23">
        <f>'Master Data'!AF91</f>
        <v>0</v>
      </c>
      <c r="AG100" s="23">
        <f>'Master Data'!AG91</f>
        <v>0</v>
      </c>
      <c r="AH100" s="23">
        <f>'Master Data'!AH91</f>
        <v>0</v>
      </c>
      <c r="AI100" s="23">
        <f>'Master Data'!AI91</f>
        <v>0</v>
      </c>
      <c r="AJ100" s="23">
        <f>'Master Data'!AJ91</f>
        <v>0</v>
      </c>
      <c r="AK100" s="23">
        <f>'Master Data'!AK91</f>
        <v>0</v>
      </c>
      <c r="AL100" s="23">
        <f>'Master Data'!AL91</f>
        <v>0</v>
      </c>
      <c r="AM100" s="23">
        <f>'Master Data'!AM91</f>
        <v>0</v>
      </c>
      <c r="AN100" s="23">
        <f>'Master Data'!AN91</f>
        <v>0</v>
      </c>
      <c r="AO100" s="23">
        <f>'Master Data'!AO91</f>
        <v>0</v>
      </c>
      <c r="AP100" s="23">
        <f>'Master Data'!AP91</f>
        <v>0</v>
      </c>
      <c r="AQ100" s="23">
        <f>SUM(M100:AP100)</f>
        <v>0</v>
      </c>
      <c r="AR100" s="16">
        <f>(AQ100*J100*K100)/1000000</f>
        <v>0</v>
      </c>
      <c r="AS100" s="17">
        <f t="shared" si="14"/>
        <v>0</v>
      </c>
      <c r="AT100" s="16">
        <f>L100-AR100</f>
        <v>0</v>
      </c>
    </row>
    <row r="101" spans="1:46" ht="15" customHeight="1" outlineLevel="1">
      <c r="A101" s="15" t="str">
        <f>'Master Data'!A92</f>
        <v>SaharnpurROZ23759</v>
      </c>
      <c r="B101" s="15" t="str">
        <f>'Master Data'!B92</f>
        <v>SH</v>
      </c>
      <c r="C101" s="15" t="str">
        <f>'Master Data'!C92</f>
        <v>SHROZ23759</v>
      </c>
      <c r="D101" s="15" t="str">
        <f>'Master Data'!D92</f>
        <v>Saharnpur</v>
      </c>
      <c r="E101" s="15" t="str">
        <f>'Master Data'!E92</f>
        <v>Shubham Enterprises</v>
      </c>
      <c r="F101" s="15" t="str">
        <f>'Master Data'!F92</f>
        <v>Rusk</v>
      </c>
      <c r="G101" s="15" t="str">
        <f>'Master Data'!G92</f>
        <v>ROZ23759</v>
      </c>
      <c r="H101" s="15" t="str">
        <f>'Master Data'!H92</f>
        <v>Samuh Elaichi Rusk 65 g</v>
      </c>
      <c r="I101" s="23">
        <f>'Master Data'!I92</f>
        <v>10</v>
      </c>
      <c r="J101" s="15">
        <f>'Master Data'!J92</f>
        <v>65</v>
      </c>
      <c r="K101" s="23">
        <f>'Master Data'!K92</f>
        <v>36</v>
      </c>
      <c r="L101" s="24">
        <f>'Master Data'!L92</f>
        <v>0</v>
      </c>
      <c r="M101" s="23">
        <f>'Master Data'!M92</f>
        <v>0</v>
      </c>
      <c r="N101" s="23">
        <f>'Master Data'!N92</f>
        <v>0</v>
      </c>
      <c r="O101" s="23">
        <f>'Master Data'!O92</f>
        <v>0</v>
      </c>
      <c r="P101" s="23">
        <f>'Master Data'!P92</f>
        <v>0</v>
      </c>
      <c r="Q101" s="23">
        <f>'Master Data'!Q92</f>
        <v>0</v>
      </c>
      <c r="R101" s="23">
        <f>'Master Data'!R92</f>
        <v>0</v>
      </c>
      <c r="S101" s="23">
        <f>'Master Data'!S92</f>
        <v>0</v>
      </c>
      <c r="T101" s="23">
        <f>'Master Data'!T92</f>
        <v>0</v>
      </c>
      <c r="U101" s="23">
        <f>'Master Data'!U92</f>
        <v>0</v>
      </c>
      <c r="V101" s="23">
        <f>'Master Data'!V92</f>
        <v>0</v>
      </c>
      <c r="W101" s="23">
        <f>'Master Data'!W92</f>
        <v>0</v>
      </c>
      <c r="X101" s="23">
        <f>'Master Data'!X92</f>
        <v>0</v>
      </c>
      <c r="Y101" s="23">
        <f>'Master Data'!Y92</f>
        <v>0</v>
      </c>
      <c r="Z101" s="23">
        <f>'Master Data'!Z92</f>
        <v>0</v>
      </c>
      <c r="AA101" s="23">
        <f>'Master Data'!AA92</f>
        <v>0</v>
      </c>
      <c r="AB101" s="23">
        <f>'Master Data'!AB92</f>
        <v>0</v>
      </c>
      <c r="AC101" s="23">
        <f>'Master Data'!AC92</f>
        <v>0</v>
      </c>
      <c r="AD101" s="23">
        <f>'Master Data'!AD92</f>
        <v>0</v>
      </c>
      <c r="AE101" s="23">
        <f>'Master Data'!AE92</f>
        <v>0</v>
      </c>
      <c r="AF101" s="23">
        <f>'Master Data'!AF92</f>
        <v>0</v>
      </c>
      <c r="AG101" s="23">
        <f>'Master Data'!AG92</f>
        <v>0</v>
      </c>
      <c r="AH101" s="23">
        <f>'Master Data'!AH92</f>
        <v>0</v>
      </c>
      <c r="AI101" s="23">
        <f>'Master Data'!AI92</f>
        <v>0</v>
      </c>
      <c r="AJ101" s="23">
        <f>'Master Data'!AJ92</f>
        <v>0</v>
      </c>
      <c r="AK101" s="23">
        <f>'Master Data'!AK92</f>
        <v>0</v>
      </c>
      <c r="AL101" s="23">
        <f>'Master Data'!AL92</f>
        <v>0</v>
      </c>
      <c r="AM101" s="23">
        <f>'Master Data'!AM92</f>
        <v>0</v>
      </c>
      <c r="AN101" s="23">
        <f>'Master Data'!AN92</f>
        <v>0</v>
      </c>
      <c r="AO101" s="23">
        <f>'Master Data'!AO92</f>
        <v>0</v>
      </c>
      <c r="AP101" s="23">
        <f>'Master Data'!AP92</f>
        <v>0</v>
      </c>
      <c r="AQ101" s="23">
        <f>SUM(M101:AP101)</f>
        <v>0</v>
      </c>
      <c r="AR101" s="16">
        <f>(AQ101*J101*K101)/1000000</f>
        <v>0</v>
      </c>
      <c r="AS101" s="17">
        <f t="shared" ref="AS101:AS125" si="22">IFERROR(AR101/L101,0)</f>
        <v>0</v>
      </c>
      <c r="AT101" s="16">
        <f>L101-AR101</f>
        <v>0</v>
      </c>
    </row>
    <row r="102" spans="1:46" ht="15" customHeight="1">
      <c r="A102" s="69" t="s">
        <v>57</v>
      </c>
      <c r="B102" s="69"/>
      <c r="C102" s="69"/>
      <c r="D102" s="2"/>
      <c r="E102" s="2"/>
      <c r="F102" s="2"/>
      <c r="G102" s="2"/>
      <c r="H102" s="2"/>
      <c r="I102" s="2"/>
      <c r="J102" s="2"/>
      <c r="K102" s="2"/>
      <c r="L102" s="19">
        <f t="shared" ref="L102:AR102" si="23">SUM(L103:L121)</f>
        <v>0</v>
      </c>
      <c r="M102" s="20">
        <f t="shared" si="23"/>
        <v>0</v>
      </c>
      <c r="N102" s="20">
        <f t="shared" si="23"/>
        <v>0</v>
      </c>
      <c r="O102" s="20">
        <f t="shared" si="23"/>
        <v>0</v>
      </c>
      <c r="P102" s="20">
        <f t="shared" si="23"/>
        <v>0</v>
      </c>
      <c r="Q102" s="20">
        <f t="shared" si="23"/>
        <v>0</v>
      </c>
      <c r="R102" s="20">
        <f t="shared" si="23"/>
        <v>0</v>
      </c>
      <c r="S102" s="20">
        <f t="shared" si="23"/>
        <v>0</v>
      </c>
      <c r="T102" s="20">
        <f t="shared" si="23"/>
        <v>0</v>
      </c>
      <c r="U102" s="20">
        <f t="shared" si="23"/>
        <v>0</v>
      </c>
      <c r="V102" s="20">
        <f t="shared" si="23"/>
        <v>0</v>
      </c>
      <c r="W102" s="20">
        <f t="shared" si="23"/>
        <v>0</v>
      </c>
      <c r="X102" s="20">
        <f t="shared" si="23"/>
        <v>0</v>
      </c>
      <c r="Y102" s="20">
        <f t="shared" si="23"/>
        <v>0</v>
      </c>
      <c r="Z102" s="20">
        <f t="shared" si="23"/>
        <v>0</v>
      </c>
      <c r="AA102" s="20">
        <f t="shared" si="23"/>
        <v>0</v>
      </c>
      <c r="AB102" s="20">
        <f t="shared" si="23"/>
        <v>0</v>
      </c>
      <c r="AC102" s="20">
        <f t="shared" si="23"/>
        <v>0</v>
      </c>
      <c r="AD102" s="20">
        <f t="shared" si="23"/>
        <v>0</v>
      </c>
      <c r="AE102" s="20">
        <f t="shared" si="23"/>
        <v>0</v>
      </c>
      <c r="AF102" s="20">
        <f t="shared" si="23"/>
        <v>0</v>
      </c>
      <c r="AG102" s="20">
        <f t="shared" si="23"/>
        <v>0</v>
      </c>
      <c r="AH102" s="20">
        <f t="shared" si="23"/>
        <v>0</v>
      </c>
      <c r="AI102" s="20">
        <f t="shared" si="23"/>
        <v>0</v>
      </c>
      <c r="AJ102" s="20">
        <f t="shared" si="23"/>
        <v>0</v>
      </c>
      <c r="AK102" s="20">
        <f t="shared" si="23"/>
        <v>0</v>
      </c>
      <c r="AL102" s="20">
        <f t="shared" si="23"/>
        <v>0</v>
      </c>
      <c r="AM102" s="20">
        <f t="shared" si="23"/>
        <v>0</v>
      </c>
      <c r="AN102" s="20">
        <f t="shared" si="23"/>
        <v>0</v>
      </c>
      <c r="AO102" s="20">
        <f t="shared" si="23"/>
        <v>0</v>
      </c>
      <c r="AP102" s="20">
        <f t="shared" si="23"/>
        <v>0</v>
      </c>
      <c r="AQ102" s="20">
        <f t="shared" si="23"/>
        <v>0</v>
      </c>
      <c r="AR102" s="21">
        <f t="shared" si="23"/>
        <v>0</v>
      </c>
      <c r="AS102" s="22">
        <f t="shared" si="22"/>
        <v>0</v>
      </c>
      <c r="AT102" s="21">
        <f>SUM(AT103:AT121)</f>
        <v>0</v>
      </c>
    </row>
    <row r="103" spans="1:46" ht="15" customHeight="1" outlineLevel="1">
      <c r="A103" s="15" t="str">
        <f>'Master Data'!A93</f>
        <v>BHAGWATIROZ39494</v>
      </c>
      <c r="B103" s="15" t="str">
        <f>'Master Data'!B93</f>
        <v>BW</v>
      </c>
      <c r="C103" s="15" t="str">
        <f>'Master Data'!C93</f>
        <v>BWROZ39494</v>
      </c>
      <c r="D103" s="15" t="str">
        <f>'Master Data'!D93</f>
        <v>BHAGWATI</v>
      </c>
      <c r="E103" s="15" t="str">
        <f>'Master Data'!E93</f>
        <v>Kolkata</v>
      </c>
      <c r="F103" s="15" t="str">
        <f>'Master Data'!F93</f>
        <v>Biscuits</v>
      </c>
      <c r="G103" s="15" t="str">
        <f>'Master Data'!G93</f>
        <v>ROZ39494</v>
      </c>
      <c r="H103" s="15" t="str">
        <f>'Master Data'!H93</f>
        <v>Samuh Milky Biscuit 35 g</v>
      </c>
      <c r="I103" s="23">
        <f>'Master Data'!I93</f>
        <v>5</v>
      </c>
      <c r="J103" s="23">
        <f>'Master Data'!J93</f>
        <v>35</v>
      </c>
      <c r="K103" s="23">
        <f>'Master Data'!K93</f>
        <v>144</v>
      </c>
      <c r="L103" s="24">
        <f>'Master Data'!L93</f>
        <v>0</v>
      </c>
      <c r="M103" s="23">
        <f>'Master Data'!M93</f>
        <v>0</v>
      </c>
      <c r="N103" s="23">
        <f>'Master Data'!N93</f>
        <v>0</v>
      </c>
      <c r="O103" s="23">
        <f>'Master Data'!O93</f>
        <v>0</v>
      </c>
      <c r="P103" s="23">
        <f>'Master Data'!P93</f>
        <v>0</v>
      </c>
      <c r="Q103" s="23">
        <f>'Master Data'!Q93</f>
        <v>0</v>
      </c>
      <c r="R103" s="23">
        <f>'Master Data'!R93</f>
        <v>0</v>
      </c>
      <c r="S103" s="23">
        <f>'Master Data'!S93</f>
        <v>0</v>
      </c>
      <c r="T103" s="23">
        <f>'Master Data'!T93</f>
        <v>0</v>
      </c>
      <c r="U103" s="23">
        <f>'Master Data'!U93</f>
        <v>0</v>
      </c>
      <c r="V103" s="23">
        <f>'Master Data'!V93</f>
        <v>0</v>
      </c>
      <c r="W103" s="23">
        <f>'Master Data'!W93</f>
        <v>0</v>
      </c>
      <c r="X103" s="23">
        <f>'Master Data'!X93</f>
        <v>0</v>
      </c>
      <c r="Y103" s="23">
        <f>'Master Data'!Y93</f>
        <v>0</v>
      </c>
      <c r="Z103" s="23">
        <f>'Master Data'!Z93</f>
        <v>0</v>
      </c>
      <c r="AA103" s="23">
        <f>'Master Data'!AA93</f>
        <v>0</v>
      </c>
      <c r="AB103" s="23">
        <f>'Master Data'!AB93</f>
        <v>0</v>
      </c>
      <c r="AC103" s="23">
        <f>'Master Data'!AC93</f>
        <v>0</v>
      </c>
      <c r="AD103" s="23">
        <f>'Master Data'!AD93</f>
        <v>0</v>
      </c>
      <c r="AE103" s="23">
        <f>'Master Data'!AE93</f>
        <v>0</v>
      </c>
      <c r="AF103" s="23">
        <f>'Master Data'!AF93</f>
        <v>0</v>
      </c>
      <c r="AG103" s="23">
        <f>'Master Data'!AG93</f>
        <v>0</v>
      </c>
      <c r="AH103" s="23">
        <f>'Master Data'!AH93</f>
        <v>0</v>
      </c>
      <c r="AI103" s="23">
        <f>'Master Data'!AI93</f>
        <v>0</v>
      </c>
      <c r="AJ103" s="23">
        <f>'Master Data'!AJ93</f>
        <v>0</v>
      </c>
      <c r="AK103" s="23">
        <f>'Master Data'!AK93</f>
        <v>0</v>
      </c>
      <c r="AL103" s="23">
        <f>'Master Data'!AL93</f>
        <v>0</v>
      </c>
      <c r="AM103" s="23">
        <f>'Master Data'!AM93</f>
        <v>0</v>
      </c>
      <c r="AN103" s="23">
        <f>'Master Data'!AN93</f>
        <v>0</v>
      </c>
      <c r="AO103" s="23">
        <f>'Master Data'!AO93</f>
        <v>0</v>
      </c>
      <c r="AP103" s="23">
        <f>'Master Data'!AP93</f>
        <v>0</v>
      </c>
      <c r="AQ103" s="23">
        <f t="shared" ref="AQ103:AQ121" si="24">SUM(M103:AP103)</f>
        <v>0</v>
      </c>
      <c r="AR103" s="16">
        <f t="shared" ref="AR103:AR121" si="25">(AQ103*J103*K103)/1000000</f>
        <v>0</v>
      </c>
      <c r="AS103" s="17">
        <f t="shared" si="22"/>
        <v>0</v>
      </c>
      <c r="AT103" s="16">
        <f t="shared" ref="AT103:AT121" si="26">L103-AR103</f>
        <v>0</v>
      </c>
    </row>
    <row r="104" spans="1:46" ht="15" customHeight="1" outlineLevel="1">
      <c r="A104" s="15" t="str">
        <f>'Master Data'!A94</f>
        <v>BHAGWATIROZ23739</v>
      </c>
      <c r="B104" s="15" t="str">
        <f>'Master Data'!B94</f>
        <v>BW</v>
      </c>
      <c r="C104" s="15" t="str">
        <f>'Master Data'!C94</f>
        <v>BWROZ23739</v>
      </c>
      <c r="D104" s="15" t="str">
        <f>'Master Data'!D94</f>
        <v>BHAGWATI</v>
      </c>
      <c r="E104" s="15" t="str">
        <f>'Master Data'!E94</f>
        <v>Kolkata</v>
      </c>
      <c r="F104" s="15" t="str">
        <f>'Master Data'!F94</f>
        <v>Biscuits</v>
      </c>
      <c r="G104" s="15" t="str">
        <f>'Master Data'!G94</f>
        <v>ROZ23739</v>
      </c>
      <c r="H104" s="15" t="str">
        <f>'Master Data'!H94</f>
        <v>Samuh Beat it! Bite it! Orange Cream Biscuit 35 g</v>
      </c>
      <c r="I104" s="23">
        <f>'Master Data'!I94</f>
        <v>5</v>
      </c>
      <c r="J104" s="23">
        <f>'Master Data'!J94</f>
        <v>35</v>
      </c>
      <c r="K104" s="23">
        <f>'Master Data'!K94</f>
        <v>144</v>
      </c>
      <c r="L104" s="24">
        <f>'Master Data'!L94</f>
        <v>0</v>
      </c>
      <c r="M104" s="23">
        <f>'Master Data'!M94</f>
        <v>0</v>
      </c>
      <c r="N104" s="23">
        <f>'Master Data'!N94</f>
        <v>0</v>
      </c>
      <c r="O104" s="23">
        <f>'Master Data'!O94</f>
        <v>0</v>
      </c>
      <c r="P104" s="23">
        <f>'Master Data'!P94</f>
        <v>0</v>
      </c>
      <c r="Q104" s="23">
        <f>'Master Data'!Q94</f>
        <v>0</v>
      </c>
      <c r="R104" s="23">
        <f>'Master Data'!R94</f>
        <v>0</v>
      </c>
      <c r="S104" s="23">
        <f>'Master Data'!S94</f>
        <v>0</v>
      </c>
      <c r="T104" s="23">
        <f>'Master Data'!T94</f>
        <v>0</v>
      </c>
      <c r="U104" s="23">
        <f>'Master Data'!U94</f>
        <v>0</v>
      </c>
      <c r="V104" s="23">
        <f>'Master Data'!V94</f>
        <v>0</v>
      </c>
      <c r="W104" s="23">
        <f>'Master Data'!W94</f>
        <v>0</v>
      </c>
      <c r="X104" s="23">
        <f>'Master Data'!X94</f>
        <v>0</v>
      </c>
      <c r="Y104" s="23">
        <f>'Master Data'!Y94</f>
        <v>0</v>
      </c>
      <c r="Z104" s="23">
        <f>'Master Data'!Z94</f>
        <v>0</v>
      </c>
      <c r="AA104" s="23">
        <f>'Master Data'!AA94</f>
        <v>0</v>
      </c>
      <c r="AB104" s="23">
        <f>'Master Data'!AB94</f>
        <v>0</v>
      </c>
      <c r="AC104" s="23">
        <f>'Master Data'!AC94</f>
        <v>0</v>
      </c>
      <c r="AD104" s="23">
        <f>'Master Data'!AD94</f>
        <v>0</v>
      </c>
      <c r="AE104" s="23">
        <f>'Master Data'!AE94</f>
        <v>0</v>
      </c>
      <c r="AF104" s="23">
        <f>'Master Data'!AF94</f>
        <v>0</v>
      </c>
      <c r="AG104" s="23">
        <f>'Master Data'!AG94</f>
        <v>0</v>
      </c>
      <c r="AH104" s="23">
        <f>'Master Data'!AH94</f>
        <v>0</v>
      </c>
      <c r="AI104" s="23">
        <f>'Master Data'!AI94</f>
        <v>0</v>
      </c>
      <c r="AJ104" s="23">
        <f>'Master Data'!AJ94</f>
        <v>0</v>
      </c>
      <c r="AK104" s="23">
        <f>'Master Data'!AK94</f>
        <v>0</v>
      </c>
      <c r="AL104" s="23">
        <f>'Master Data'!AL94</f>
        <v>0</v>
      </c>
      <c r="AM104" s="23">
        <f>'Master Data'!AM94</f>
        <v>0</v>
      </c>
      <c r="AN104" s="23">
        <f>'Master Data'!AN94</f>
        <v>0</v>
      </c>
      <c r="AO104" s="23">
        <f>'Master Data'!AO94</f>
        <v>0</v>
      </c>
      <c r="AP104" s="23">
        <f>'Master Data'!AP94</f>
        <v>0</v>
      </c>
      <c r="AQ104" s="23">
        <f t="shared" si="24"/>
        <v>0</v>
      </c>
      <c r="AR104" s="16">
        <f t="shared" si="25"/>
        <v>0</v>
      </c>
      <c r="AS104" s="17">
        <f t="shared" si="22"/>
        <v>0</v>
      </c>
      <c r="AT104" s="16">
        <f t="shared" si="26"/>
        <v>0</v>
      </c>
    </row>
    <row r="105" spans="1:46" ht="15" customHeight="1" outlineLevel="1">
      <c r="A105" s="15" t="str">
        <f>'Master Data'!A95</f>
        <v>BHAGWATIROZ23738</v>
      </c>
      <c r="B105" s="15" t="str">
        <f>'Master Data'!B95</f>
        <v>BW</v>
      </c>
      <c r="C105" s="15" t="str">
        <f>'Master Data'!C95</f>
        <v>BWROZ23738</v>
      </c>
      <c r="D105" s="15" t="str">
        <f>'Master Data'!D95</f>
        <v>BHAGWATI</v>
      </c>
      <c r="E105" s="15" t="str">
        <f>'Master Data'!E95</f>
        <v>Kolkata</v>
      </c>
      <c r="F105" s="15" t="str">
        <f>'Master Data'!F95</f>
        <v>Biscuits</v>
      </c>
      <c r="G105" s="15" t="str">
        <f>'Master Data'!G95</f>
        <v>ROZ23738</v>
      </c>
      <c r="H105" s="15" t="str">
        <f>'Master Data'!H95</f>
        <v>Samuh Beat it Bite it Chocolate Cream Biscuit 35 g</v>
      </c>
      <c r="I105" s="23">
        <f>'Master Data'!I95</f>
        <v>5</v>
      </c>
      <c r="J105" s="23">
        <f>'Master Data'!J95</f>
        <v>35</v>
      </c>
      <c r="K105" s="23">
        <f>'Master Data'!K95</f>
        <v>144</v>
      </c>
      <c r="L105" s="24">
        <f>'Master Data'!L95</f>
        <v>0</v>
      </c>
      <c r="M105" s="23">
        <f>'Master Data'!M95</f>
        <v>0</v>
      </c>
      <c r="N105" s="23">
        <f>'Master Data'!N95</f>
        <v>0</v>
      </c>
      <c r="O105" s="23">
        <f>'Master Data'!O95</f>
        <v>0</v>
      </c>
      <c r="P105" s="23">
        <f>'Master Data'!P95</f>
        <v>0</v>
      </c>
      <c r="Q105" s="23">
        <f>'Master Data'!Q95</f>
        <v>0</v>
      </c>
      <c r="R105" s="23">
        <f>'Master Data'!R95</f>
        <v>0</v>
      </c>
      <c r="S105" s="23">
        <f>'Master Data'!S95</f>
        <v>0</v>
      </c>
      <c r="T105" s="23">
        <f>'Master Data'!T95</f>
        <v>0</v>
      </c>
      <c r="U105" s="23">
        <f>'Master Data'!U95</f>
        <v>0</v>
      </c>
      <c r="V105" s="23">
        <f>'Master Data'!V95</f>
        <v>0</v>
      </c>
      <c r="W105" s="23">
        <f>'Master Data'!W95</f>
        <v>0</v>
      </c>
      <c r="X105" s="23">
        <f>'Master Data'!X95</f>
        <v>0</v>
      </c>
      <c r="Y105" s="23">
        <f>'Master Data'!Y95</f>
        <v>0</v>
      </c>
      <c r="Z105" s="23">
        <f>'Master Data'!Z95</f>
        <v>0</v>
      </c>
      <c r="AA105" s="23">
        <f>'Master Data'!AA95</f>
        <v>0</v>
      </c>
      <c r="AB105" s="23">
        <f>'Master Data'!AB95</f>
        <v>0</v>
      </c>
      <c r="AC105" s="23">
        <f>'Master Data'!AC95</f>
        <v>0</v>
      </c>
      <c r="AD105" s="23">
        <f>'Master Data'!AD95</f>
        <v>0</v>
      </c>
      <c r="AE105" s="23">
        <f>'Master Data'!AE95</f>
        <v>0</v>
      </c>
      <c r="AF105" s="23">
        <f>'Master Data'!AF95</f>
        <v>0</v>
      </c>
      <c r="AG105" s="23">
        <f>'Master Data'!AG95</f>
        <v>0</v>
      </c>
      <c r="AH105" s="23">
        <f>'Master Data'!AH95</f>
        <v>0</v>
      </c>
      <c r="AI105" s="23">
        <f>'Master Data'!AI95</f>
        <v>0</v>
      </c>
      <c r="AJ105" s="23">
        <f>'Master Data'!AJ95</f>
        <v>0</v>
      </c>
      <c r="AK105" s="23">
        <f>'Master Data'!AK95</f>
        <v>0</v>
      </c>
      <c r="AL105" s="23">
        <f>'Master Data'!AL95</f>
        <v>0</v>
      </c>
      <c r="AM105" s="23">
        <f>'Master Data'!AM95</f>
        <v>0</v>
      </c>
      <c r="AN105" s="23">
        <f>'Master Data'!AN95</f>
        <v>0</v>
      </c>
      <c r="AO105" s="23">
        <f>'Master Data'!AO95</f>
        <v>0</v>
      </c>
      <c r="AP105" s="23">
        <f>'Master Data'!AP95</f>
        <v>0</v>
      </c>
      <c r="AQ105" s="23">
        <f t="shared" si="24"/>
        <v>0</v>
      </c>
      <c r="AR105" s="16">
        <f t="shared" si="25"/>
        <v>0</v>
      </c>
      <c r="AS105" s="17">
        <f t="shared" si="22"/>
        <v>0</v>
      </c>
      <c r="AT105" s="16">
        <f t="shared" si="26"/>
        <v>0</v>
      </c>
    </row>
    <row r="106" spans="1:46" ht="15" customHeight="1" outlineLevel="1">
      <c r="A106" s="15" t="str">
        <f>'Master Data'!A96</f>
        <v>BHAGWATIROZ23743</v>
      </c>
      <c r="B106" s="15" t="str">
        <f>'Master Data'!B96</f>
        <v>BW</v>
      </c>
      <c r="C106" s="15" t="str">
        <f>'Master Data'!C96</f>
        <v>BWROZ23743</v>
      </c>
      <c r="D106" s="15" t="str">
        <f>'Master Data'!D96</f>
        <v>BHAGWATI</v>
      </c>
      <c r="E106" s="15" t="str">
        <f>'Master Data'!E96</f>
        <v>Kolkata</v>
      </c>
      <c r="F106" s="15" t="str">
        <f>'Master Data'!F96</f>
        <v>Biscuits</v>
      </c>
      <c r="G106" s="15" t="str">
        <f>'Master Data'!G96</f>
        <v>ROZ23743</v>
      </c>
      <c r="H106" s="15" t="str">
        <f>'Master Data'!H96</f>
        <v>Samuh Butter Cookies Biscuit 32 g</v>
      </c>
      <c r="I106" s="23">
        <f>'Master Data'!I96</f>
        <v>5</v>
      </c>
      <c r="J106" s="23">
        <f>'Master Data'!J96</f>
        <v>32</v>
      </c>
      <c r="K106" s="23">
        <f>'Master Data'!K96</f>
        <v>144</v>
      </c>
      <c r="L106" s="24">
        <f>'Master Data'!L96</f>
        <v>0</v>
      </c>
      <c r="M106" s="23">
        <f>'Master Data'!M96</f>
        <v>0</v>
      </c>
      <c r="N106" s="23">
        <f>'Master Data'!N96</f>
        <v>0</v>
      </c>
      <c r="O106" s="23">
        <f>'Master Data'!O96</f>
        <v>0</v>
      </c>
      <c r="P106" s="23">
        <f>'Master Data'!P96</f>
        <v>0</v>
      </c>
      <c r="Q106" s="23">
        <f>'Master Data'!Q96</f>
        <v>0</v>
      </c>
      <c r="R106" s="23">
        <f>'Master Data'!R96</f>
        <v>0</v>
      </c>
      <c r="S106" s="23">
        <f>'Master Data'!S96</f>
        <v>0</v>
      </c>
      <c r="T106" s="23">
        <f>'Master Data'!T96</f>
        <v>0</v>
      </c>
      <c r="U106" s="23">
        <f>'Master Data'!U96</f>
        <v>0</v>
      </c>
      <c r="V106" s="23">
        <f>'Master Data'!V96</f>
        <v>0</v>
      </c>
      <c r="W106" s="23">
        <f>'Master Data'!W96</f>
        <v>0</v>
      </c>
      <c r="X106" s="23">
        <f>'Master Data'!X96</f>
        <v>0</v>
      </c>
      <c r="Y106" s="23">
        <f>'Master Data'!Y96</f>
        <v>0</v>
      </c>
      <c r="Z106" s="23">
        <f>'Master Data'!Z96</f>
        <v>0</v>
      </c>
      <c r="AA106" s="23">
        <f>'Master Data'!AA96</f>
        <v>0</v>
      </c>
      <c r="AB106" s="23">
        <f>'Master Data'!AB96</f>
        <v>0</v>
      </c>
      <c r="AC106" s="23">
        <f>'Master Data'!AC96</f>
        <v>0</v>
      </c>
      <c r="AD106" s="23">
        <f>'Master Data'!AD96</f>
        <v>0</v>
      </c>
      <c r="AE106" s="23">
        <f>'Master Data'!AE96</f>
        <v>0</v>
      </c>
      <c r="AF106" s="23">
        <f>'Master Data'!AF96</f>
        <v>0</v>
      </c>
      <c r="AG106" s="23">
        <f>'Master Data'!AG96</f>
        <v>0</v>
      </c>
      <c r="AH106" s="23">
        <f>'Master Data'!AH96</f>
        <v>0</v>
      </c>
      <c r="AI106" s="23">
        <f>'Master Data'!AI96</f>
        <v>0</v>
      </c>
      <c r="AJ106" s="23">
        <f>'Master Data'!AJ96</f>
        <v>0</v>
      </c>
      <c r="AK106" s="23">
        <f>'Master Data'!AK96</f>
        <v>0</v>
      </c>
      <c r="AL106" s="23">
        <f>'Master Data'!AL96</f>
        <v>0</v>
      </c>
      <c r="AM106" s="23">
        <f>'Master Data'!AM96</f>
        <v>0</v>
      </c>
      <c r="AN106" s="23">
        <f>'Master Data'!AN96</f>
        <v>0</v>
      </c>
      <c r="AO106" s="23">
        <f>'Master Data'!AO96</f>
        <v>0</v>
      </c>
      <c r="AP106" s="23">
        <f>'Master Data'!AP96</f>
        <v>0</v>
      </c>
      <c r="AQ106" s="23">
        <f t="shared" si="24"/>
        <v>0</v>
      </c>
      <c r="AR106" s="16">
        <f t="shared" si="25"/>
        <v>0</v>
      </c>
      <c r="AS106" s="17">
        <f t="shared" si="22"/>
        <v>0</v>
      </c>
      <c r="AT106" s="16">
        <f t="shared" si="26"/>
        <v>0</v>
      </c>
    </row>
    <row r="107" spans="1:46" ht="15" customHeight="1" outlineLevel="1">
      <c r="A107" s="15" t="str">
        <f>'Master Data'!A97</f>
        <v>BHAGWATIROZ23740</v>
      </c>
      <c r="B107" s="15" t="str">
        <f>'Master Data'!B97</f>
        <v>BW</v>
      </c>
      <c r="C107" s="15" t="str">
        <f>'Master Data'!C97</f>
        <v>BWROZ23740</v>
      </c>
      <c r="D107" s="15" t="str">
        <f>'Master Data'!D97</f>
        <v>BHAGWATI</v>
      </c>
      <c r="E107" s="15" t="str">
        <f>'Master Data'!E97</f>
        <v>Kolkata</v>
      </c>
      <c r="F107" s="15" t="str">
        <f>'Master Data'!F97</f>
        <v>Biscuits</v>
      </c>
      <c r="G107" s="15" t="str">
        <f>'Master Data'!G97</f>
        <v>ROZ23740</v>
      </c>
      <c r="H107" s="15" t="str">
        <f>'Master Data'!H97</f>
        <v>Samuh Zeera Biscuit 35 g</v>
      </c>
      <c r="I107" s="23">
        <f>'Master Data'!I97</f>
        <v>5</v>
      </c>
      <c r="J107" s="23">
        <f>'Master Data'!J97</f>
        <v>35</v>
      </c>
      <c r="K107" s="23">
        <f>'Master Data'!K97</f>
        <v>144</v>
      </c>
      <c r="L107" s="24">
        <f>'Master Data'!L97</f>
        <v>0</v>
      </c>
      <c r="M107" s="23">
        <f>'Master Data'!M97</f>
        <v>0</v>
      </c>
      <c r="N107" s="23">
        <f>'Master Data'!N97</f>
        <v>0</v>
      </c>
      <c r="O107" s="23">
        <f>'Master Data'!O97</f>
        <v>0</v>
      </c>
      <c r="P107" s="23">
        <f>'Master Data'!P97</f>
        <v>0</v>
      </c>
      <c r="Q107" s="23">
        <f>'Master Data'!Q97</f>
        <v>0</v>
      </c>
      <c r="R107" s="23">
        <f>'Master Data'!R97</f>
        <v>0</v>
      </c>
      <c r="S107" s="23">
        <f>'Master Data'!S97</f>
        <v>0</v>
      </c>
      <c r="T107" s="23">
        <f>'Master Data'!T97</f>
        <v>0</v>
      </c>
      <c r="U107" s="23">
        <f>'Master Data'!U97</f>
        <v>0</v>
      </c>
      <c r="V107" s="23">
        <f>'Master Data'!V97</f>
        <v>0</v>
      </c>
      <c r="W107" s="23">
        <f>'Master Data'!W97</f>
        <v>0</v>
      </c>
      <c r="X107" s="23">
        <f>'Master Data'!X97</f>
        <v>0</v>
      </c>
      <c r="Y107" s="23">
        <f>'Master Data'!Y97</f>
        <v>0</v>
      </c>
      <c r="Z107" s="23">
        <f>'Master Data'!Z97</f>
        <v>0</v>
      </c>
      <c r="AA107" s="23">
        <f>'Master Data'!AA97</f>
        <v>0</v>
      </c>
      <c r="AB107" s="23">
        <f>'Master Data'!AB97</f>
        <v>0</v>
      </c>
      <c r="AC107" s="23">
        <f>'Master Data'!AC97</f>
        <v>0</v>
      </c>
      <c r="AD107" s="23">
        <f>'Master Data'!AD97</f>
        <v>0</v>
      </c>
      <c r="AE107" s="23">
        <f>'Master Data'!AE97</f>
        <v>0</v>
      </c>
      <c r="AF107" s="23">
        <f>'Master Data'!AF97</f>
        <v>0</v>
      </c>
      <c r="AG107" s="23">
        <f>'Master Data'!AG97</f>
        <v>0</v>
      </c>
      <c r="AH107" s="23">
        <f>'Master Data'!AH97</f>
        <v>0</v>
      </c>
      <c r="AI107" s="23">
        <f>'Master Data'!AI97</f>
        <v>0</v>
      </c>
      <c r="AJ107" s="23">
        <f>'Master Data'!AJ97</f>
        <v>0</v>
      </c>
      <c r="AK107" s="23">
        <f>'Master Data'!AK97</f>
        <v>0</v>
      </c>
      <c r="AL107" s="23">
        <f>'Master Data'!AL97</f>
        <v>0</v>
      </c>
      <c r="AM107" s="23">
        <f>'Master Data'!AM97</f>
        <v>0</v>
      </c>
      <c r="AN107" s="23">
        <f>'Master Data'!AN97</f>
        <v>0</v>
      </c>
      <c r="AO107" s="23">
        <f>'Master Data'!AO97</f>
        <v>0</v>
      </c>
      <c r="AP107" s="23">
        <f>'Master Data'!AP97</f>
        <v>0</v>
      </c>
      <c r="AQ107" s="23">
        <f t="shared" si="24"/>
        <v>0</v>
      </c>
      <c r="AR107" s="16">
        <f t="shared" si="25"/>
        <v>0</v>
      </c>
      <c r="AS107" s="17">
        <f t="shared" si="22"/>
        <v>0</v>
      </c>
      <c r="AT107" s="16">
        <f t="shared" si="26"/>
        <v>0</v>
      </c>
    </row>
    <row r="108" spans="1:46" ht="15" customHeight="1" outlineLevel="1">
      <c r="A108" s="15" t="str">
        <f>'Master Data'!A98</f>
        <v>BHAGWATIROZ23741</v>
      </c>
      <c r="B108" s="15" t="str">
        <f>'Master Data'!B98</f>
        <v>BW</v>
      </c>
      <c r="C108" s="15" t="str">
        <f>'Master Data'!C98</f>
        <v>BWROZ23741</v>
      </c>
      <c r="D108" s="15" t="str">
        <f>'Master Data'!D98</f>
        <v>BHAGWATI</v>
      </c>
      <c r="E108" s="15" t="str">
        <f>'Master Data'!E98</f>
        <v>Kolkata</v>
      </c>
      <c r="F108" s="15" t="str">
        <f>'Master Data'!F98</f>
        <v>Biscuits</v>
      </c>
      <c r="G108" s="15" t="str">
        <f>'Master Data'!G98</f>
        <v>ROZ23741</v>
      </c>
      <c r="H108" s="15" t="str">
        <f>'Master Data'!H98</f>
        <v>Samuh Coconut Cookies Biscuit 35 g</v>
      </c>
      <c r="I108" s="23">
        <f>'Master Data'!I98</f>
        <v>5</v>
      </c>
      <c r="J108" s="23">
        <f>'Master Data'!J98</f>
        <v>35</v>
      </c>
      <c r="K108" s="23">
        <f>'Master Data'!K98</f>
        <v>144</v>
      </c>
      <c r="L108" s="24">
        <f>'Master Data'!L98</f>
        <v>0</v>
      </c>
      <c r="M108" s="23">
        <f>'Master Data'!M98</f>
        <v>0</v>
      </c>
      <c r="N108" s="23">
        <f>'Master Data'!N98</f>
        <v>0</v>
      </c>
      <c r="O108" s="23">
        <f>'Master Data'!O98</f>
        <v>0</v>
      </c>
      <c r="P108" s="23">
        <f>'Master Data'!P98</f>
        <v>0</v>
      </c>
      <c r="Q108" s="23">
        <f>'Master Data'!Q98</f>
        <v>0</v>
      </c>
      <c r="R108" s="23">
        <f>'Master Data'!R98</f>
        <v>0</v>
      </c>
      <c r="S108" s="23">
        <f>'Master Data'!S98</f>
        <v>0</v>
      </c>
      <c r="T108" s="23">
        <f>'Master Data'!T98</f>
        <v>0</v>
      </c>
      <c r="U108" s="23">
        <f>'Master Data'!U98</f>
        <v>0</v>
      </c>
      <c r="V108" s="23">
        <f>'Master Data'!V98</f>
        <v>0</v>
      </c>
      <c r="W108" s="23">
        <f>'Master Data'!W98</f>
        <v>0</v>
      </c>
      <c r="X108" s="23">
        <f>'Master Data'!X98</f>
        <v>0</v>
      </c>
      <c r="Y108" s="23">
        <f>'Master Data'!Y98</f>
        <v>0</v>
      </c>
      <c r="Z108" s="23">
        <f>'Master Data'!Z98</f>
        <v>0</v>
      </c>
      <c r="AA108" s="23">
        <f>'Master Data'!AA98</f>
        <v>0</v>
      </c>
      <c r="AB108" s="23">
        <f>'Master Data'!AB98</f>
        <v>0</v>
      </c>
      <c r="AC108" s="23">
        <f>'Master Data'!AC98</f>
        <v>0</v>
      </c>
      <c r="AD108" s="23">
        <f>'Master Data'!AD98</f>
        <v>0</v>
      </c>
      <c r="AE108" s="23">
        <f>'Master Data'!AE98</f>
        <v>0</v>
      </c>
      <c r="AF108" s="23">
        <f>'Master Data'!AF98</f>
        <v>0</v>
      </c>
      <c r="AG108" s="23">
        <f>'Master Data'!AG98</f>
        <v>0</v>
      </c>
      <c r="AH108" s="23">
        <f>'Master Data'!AH98</f>
        <v>0</v>
      </c>
      <c r="AI108" s="23">
        <f>'Master Data'!AI98</f>
        <v>0</v>
      </c>
      <c r="AJ108" s="23">
        <f>'Master Data'!AJ98</f>
        <v>0</v>
      </c>
      <c r="AK108" s="23">
        <f>'Master Data'!AK98</f>
        <v>0</v>
      </c>
      <c r="AL108" s="23">
        <f>'Master Data'!AL98</f>
        <v>0</v>
      </c>
      <c r="AM108" s="23">
        <f>'Master Data'!AM98</f>
        <v>0</v>
      </c>
      <c r="AN108" s="23">
        <f>'Master Data'!AN98</f>
        <v>0</v>
      </c>
      <c r="AO108" s="23">
        <f>'Master Data'!AO98</f>
        <v>0</v>
      </c>
      <c r="AP108" s="23">
        <f>'Master Data'!AP98</f>
        <v>0</v>
      </c>
      <c r="AQ108" s="23">
        <f t="shared" si="24"/>
        <v>0</v>
      </c>
      <c r="AR108" s="16">
        <f t="shared" si="25"/>
        <v>0</v>
      </c>
      <c r="AS108" s="17">
        <f t="shared" si="22"/>
        <v>0</v>
      </c>
      <c r="AT108" s="16">
        <f t="shared" si="26"/>
        <v>0</v>
      </c>
    </row>
    <row r="109" spans="1:46" ht="15" customHeight="1" outlineLevel="1">
      <c r="A109" s="15" t="str">
        <f>'Master Data'!A99</f>
        <v>BHAGWATIROZ23742</v>
      </c>
      <c r="B109" s="15" t="str">
        <f>'Master Data'!B99</f>
        <v>BW</v>
      </c>
      <c r="C109" s="15" t="str">
        <f>'Master Data'!C99</f>
        <v>BWROZ23742</v>
      </c>
      <c r="D109" s="15" t="str">
        <f>'Master Data'!D99</f>
        <v>BHAGWATI</v>
      </c>
      <c r="E109" s="15" t="str">
        <f>'Master Data'!E99</f>
        <v>Kolkata</v>
      </c>
      <c r="F109" s="15" t="str">
        <f>'Master Data'!F99</f>
        <v>Biscuits</v>
      </c>
      <c r="G109" s="15" t="str">
        <f>'Master Data'!G99</f>
        <v>ROZ23742</v>
      </c>
      <c r="H109" s="15" t="str">
        <f>'Master Data'!H99</f>
        <v>Samuh Salty Sweety Biscuit 32 g</v>
      </c>
      <c r="I109" s="23">
        <f>'Master Data'!I99</f>
        <v>5</v>
      </c>
      <c r="J109" s="23">
        <f>'Master Data'!J99</f>
        <v>32</v>
      </c>
      <c r="K109" s="23">
        <f>'Master Data'!K99</f>
        <v>144</v>
      </c>
      <c r="L109" s="24">
        <f>'Master Data'!L99</f>
        <v>0</v>
      </c>
      <c r="M109" s="23">
        <f>'Master Data'!M99</f>
        <v>0</v>
      </c>
      <c r="N109" s="23">
        <f>'Master Data'!N99</f>
        <v>0</v>
      </c>
      <c r="O109" s="23">
        <f>'Master Data'!O99</f>
        <v>0</v>
      </c>
      <c r="P109" s="23">
        <f>'Master Data'!P99</f>
        <v>0</v>
      </c>
      <c r="Q109" s="23">
        <f>'Master Data'!Q99</f>
        <v>0</v>
      </c>
      <c r="R109" s="23">
        <f>'Master Data'!R99</f>
        <v>0</v>
      </c>
      <c r="S109" s="23">
        <f>'Master Data'!S99</f>
        <v>0</v>
      </c>
      <c r="T109" s="23">
        <f>'Master Data'!T99</f>
        <v>0</v>
      </c>
      <c r="U109" s="23">
        <f>'Master Data'!U99</f>
        <v>0</v>
      </c>
      <c r="V109" s="23">
        <f>'Master Data'!V99</f>
        <v>0</v>
      </c>
      <c r="W109" s="23">
        <f>'Master Data'!W99</f>
        <v>0</v>
      </c>
      <c r="X109" s="23">
        <f>'Master Data'!X99</f>
        <v>0</v>
      </c>
      <c r="Y109" s="23">
        <f>'Master Data'!Y99</f>
        <v>0</v>
      </c>
      <c r="Z109" s="23">
        <f>'Master Data'!Z99</f>
        <v>0</v>
      </c>
      <c r="AA109" s="23">
        <f>'Master Data'!AA99</f>
        <v>0</v>
      </c>
      <c r="AB109" s="23">
        <f>'Master Data'!AB99</f>
        <v>0</v>
      </c>
      <c r="AC109" s="23">
        <f>'Master Data'!AC99</f>
        <v>0</v>
      </c>
      <c r="AD109" s="23">
        <f>'Master Data'!AD99</f>
        <v>0</v>
      </c>
      <c r="AE109" s="23">
        <f>'Master Data'!AE99</f>
        <v>0</v>
      </c>
      <c r="AF109" s="23">
        <f>'Master Data'!AF99</f>
        <v>0</v>
      </c>
      <c r="AG109" s="23">
        <f>'Master Data'!AG99</f>
        <v>0</v>
      </c>
      <c r="AH109" s="23">
        <f>'Master Data'!AH99</f>
        <v>0</v>
      </c>
      <c r="AI109" s="23">
        <f>'Master Data'!AI99</f>
        <v>0</v>
      </c>
      <c r="AJ109" s="23">
        <f>'Master Data'!AJ99</f>
        <v>0</v>
      </c>
      <c r="AK109" s="23">
        <f>'Master Data'!AK99</f>
        <v>0</v>
      </c>
      <c r="AL109" s="23">
        <f>'Master Data'!AL99</f>
        <v>0</v>
      </c>
      <c r="AM109" s="23">
        <f>'Master Data'!AM99</f>
        <v>0</v>
      </c>
      <c r="AN109" s="23">
        <f>'Master Data'!AN99</f>
        <v>0</v>
      </c>
      <c r="AO109" s="23">
        <f>'Master Data'!AO99</f>
        <v>0</v>
      </c>
      <c r="AP109" s="23">
        <f>'Master Data'!AP99</f>
        <v>0</v>
      </c>
      <c r="AQ109" s="23">
        <f t="shared" si="24"/>
        <v>0</v>
      </c>
      <c r="AR109" s="16">
        <f t="shared" si="25"/>
        <v>0</v>
      </c>
      <c r="AS109" s="17">
        <f t="shared" si="22"/>
        <v>0</v>
      </c>
      <c r="AT109" s="16">
        <f t="shared" si="26"/>
        <v>0</v>
      </c>
    </row>
    <row r="110" spans="1:46" ht="15" customHeight="1" outlineLevel="1">
      <c r="A110" s="15" t="str">
        <f>'Master Data'!A100</f>
        <v>BHAGWATIROZ36954</v>
      </c>
      <c r="B110" s="15" t="str">
        <f>'Master Data'!B100</f>
        <v>BW</v>
      </c>
      <c r="C110" s="15" t="str">
        <f>'Master Data'!C100</f>
        <v>BWROZ36954</v>
      </c>
      <c r="D110" s="15" t="str">
        <f>'Master Data'!D100</f>
        <v>BHAGWATI</v>
      </c>
      <c r="E110" s="15" t="str">
        <f>'Master Data'!E100</f>
        <v>Kolkata</v>
      </c>
      <c r="F110" s="15" t="str">
        <f>'Master Data'!F100</f>
        <v>Biscuits</v>
      </c>
      <c r="G110" s="15" t="str">
        <f>'Master Data'!G100</f>
        <v>ROZ36954</v>
      </c>
      <c r="H110" s="15" t="str">
        <f>'Master Data'!H100</f>
        <v>Samuh Butter Cashew 30 g</v>
      </c>
      <c r="I110" s="23">
        <f>'Master Data'!I100</f>
        <v>5</v>
      </c>
      <c r="J110" s="23">
        <f>'Master Data'!J100</f>
        <v>30</v>
      </c>
      <c r="K110" s="23">
        <f>'Master Data'!K100</f>
        <v>144</v>
      </c>
      <c r="L110" s="24">
        <f>'Master Data'!L100</f>
        <v>0</v>
      </c>
      <c r="M110" s="23">
        <f>'Master Data'!M100</f>
        <v>0</v>
      </c>
      <c r="N110" s="23">
        <f>'Master Data'!N100</f>
        <v>0</v>
      </c>
      <c r="O110" s="23">
        <f>'Master Data'!O100</f>
        <v>0</v>
      </c>
      <c r="P110" s="23">
        <f>'Master Data'!P100</f>
        <v>0</v>
      </c>
      <c r="Q110" s="23">
        <f>'Master Data'!Q100</f>
        <v>0</v>
      </c>
      <c r="R110" s="23">
        <f>'Master Data'!R100</f>
        <v>0</v>
      </c>
      <c r="S110" s="23">
        <f>'Master Data'!S100</f>
        <v>0</v>
      </c>
      <c r="T110" s="23">
        <f>'Master Data'!T100</f>
        <v>0</v>
      </c>
      <c r="U110" s="23">
        <f>'Master Data'!U100</f>
        <v>0</v>
      </c>
      <c r="V110" s="23">
        <f>'Master Data'!V100</f>
        <v>0</v>
      </c>
      <c r="W110" s="23">
        <f>'Master Data'!W100</f>
        <v>0</v>
      </c>
      <c r="X110" s="23">
        <f>'Master Data'!X100</f>
        <v>0</v>
      </c>
      <c r="Y110" s="23">
        <f>'Master Data'!Y100</f>
        <v>0</v>
      </c>
      <c r="Z110" s="23">
        <f>'Master Data'!Z100</f>
        <v>0</v>
      </c>
      <c r="AA110" s="23">
        <f>'Master Data'!AA100</f>
        <v>0</v>
      </c>
      <c r="AB110" s="23">
        <f>'Master Data'!AB100</f>
        <v>0</v>
      </c>
      <c r="AC110" s="23">
        <f>'Master Data'!AC100</f>
        <v>0</v>
      </c>
      <c r="AD110" s="23">
        <f>'Master Data'!AD100</f>
        <v>0</v>
      </c>
      <c r="AE110" s="23">
        <f>'Master Data'!AE100</f>
        <v>0</v>
      </c>
      <c r="AF110" s="23">
        <f>'Master Data'!AF100</f>
        <v>0</v>
      </c>
      <c r="AG110" s="23">
        <f>'Master Data'!AG100</f>
        <v>0</v>
      </c>
      <c r="AH110" s="23">
        <f>'Master Data'!AH100</f>
        <v>0</v>
      </c>
      <c r="AI110" s="23">
        <f>'Master Data'!AI100</f>
        <v>0</v>
      </c>
      <c r="AJ110" s="23">
        <f>'Master Data'!AJ100</f>
        <v>0</v>
      </c>
      <c r="AK110" s="23">
        <f>'Master Data'!AK100</f>
        <v>0</v>
      </c>
      <c r="AL110" s="23">
        <f>'Master Data'!AL100</f>
        <v>0</v>
      </c>
      <c r="AM110" s="23">
        <f>'Master Data'!AM100</f>
        <v>0</v>
      </c>
      <c r="AN110" s="23">
        <f>'Master Data'!AN100</f>
        <v>0</v>
      </c>
      <c r="AO110" s="23">
        <f>'Master Data'!AO100</f>
        <v>0</v>
      </c>
      <c r="AP110" s="23">
        <f>'Master Data'!AP100</f>
        <v>0</v>
      </c>
      <c r="AQ110" s="23">
        <f t="shared" si="24"/>
        <v>0</v>
      </c>
      <c r="AR110" s="16">
        <f t="shared" si="25"/>
        <v>0</v>
      </c>
      <c r="AS110" s="17">
        <f t="shared" si="22"/>
        <v>0</v>
      </c>
      <c r="AT110" s="16">
        <f t="shared" si="26"/>
        <v>0</v>
      </c>
    </row>
    <row r="111" spans="1:46" ht="15" customHeight="1" outlineLevel="1">
      <c r="A111" s="15" t="str">
        <f>'Master Data'!A101</f>
        <v>BHAGWATIROZ36955</v>
      </c>
      <c r="B111" s="15" t="str">
        <f>'Master Data'!B101</f>
        <v>BW</v>
      </c>
      <c r="C111" s="15" t="str">
        <f>'Master Data'!C101</f>
        <v>BWROZ36955</v>
      </c>
      <c r="D111" s="15" t="str">
        <f>'Master Data'!D101</f>
        <v>BHAGWATI</v>
      </c>
      <c r="E111" s="15" t="str">
        <f>'Master Data'!E101</f>
        <v>Kolkata</v>
      </c>
      <c r="F111" s="15" t="str">
        <f>'Master Data'!F101</f>
        <v>Biscuits</v>
      </c>
      <c r="G111" s="15" t="str">
        <f>'Master Data'!G101</f>
        <v>ROZ36955</v>
      </c>
      <c r="H111" s="15" t="str">
        <f>'Master Data'!H101</f>
        <v>Samuh Beat it Bite it Chocolate Cream Biscuit 70 g</v>
      </c>
      <c r="I111" s="23">
        <f>'Master Data'!I101</f>
        <v>10</v>
      </c>
      <c r="J111" s="23">
        <f>'Master Data'!J101</f>
        <v>70</v>
      </c>
      <c r="K111" s="23">
        <f>'Master Data'!K101</f>
        <v>60</v>
      </c>
      <c r="L111" s="24">
        <f>'Master Data'!L101</f>
        <v>0</v>
      </c>
      <c r="M111" s="23">
        <f>'Master Data'!M101</f>
        <v>0</v>
      </c>
      <c r="N111" s="23">
        <f>'Master Data'!N101</f>
        <v>0</v>
      </c>
      <c r="O111" s="23">
        <f>'Master Data'!O101</f>
        <v>0</v>
      </c>
      <c r="P111" s="23">
        <f>'Master Data'!P101</f>
        <v>0</v>
      </c>
      <c r="Q111" s="23">
        <f>'Master Data'!Q101</f>
        <v>0</v>
      </c>
      <c r="R111" s="23">
        <f>'Master Data'!R101</f>
        <v>0</v>
      </c>
      <c r="S111" s="23">
        <f>'Master Data'!S101</f>
        <v>0</v>
      </c>
      <c r="T111" s="23">
        <f>'Master Data'!T101</f>
        <v>0</v>
      </c>
      <c r="U111" s="23">
        <f>'Master Data'!U101</f>
        <v>0</v>
      </c>
      <c r="V111" s="23">
        <f>'Master Data'!V101</f>
        <v>0</v>
      </c>
      <c r="W111" s="23">
        <f>'Master Data'!W101</f>
        <v>0</v>
      </c>
      <c r="X111" s="23">
        <f>'Master Data'!X101</f>
        <v>0</v>
      </c>
      <c r="Y111" s="23">
        <f>'Master Data'!Y101</f>
        <v>0</v>
      </c>
      <c r="Z111" s="23">
        <f>'Master Data'!Z101</f>
        <v>0</v>
      </c>
      <c r="AA111" s="23">
        <f>'Master Data'!AA101</f>
        <v>0</v>
      </c>
      <c r="AB111" s="23">
        <f>'Master Data'!AB101</f>
        <v>0</v>
      </c>
      <c r="AC111" s="23">
        <f>'Master Data'!AC101</f>
        <v>0</v>
      </c>
      <c r="AD111" s="23">
        <f>'Master Data'!AD101</f>
        <v>0</v>
      </c>
      <c r="AE111" s="23">
        <f>'Master Data'!AE101</f>
        <v>0</v>
      </c>
      <c r="AF111" s="23">
        <f>'Master Data'!AF101</f>
        <v>0</v>
      </c>
      <c r="AG111" s="23">
        <f>'Master Data'!AG101</f>
        <v>0</v>
      </c>
      <c r="AH111" s="23">
        <f>'Master Data'!AH101</f>
        <v>0</v>
      </c>
      <c r="AI111" s="23">
        <f>'Master Data'!AI101</f>
        <v>0</v>
      </c>
      <c r="AJ111" s="23">
        <f>'Master Data'!AJ101</f>
        <v>0</v>
      </c>
      <c r="AK111" s="23">
        <f>'Master Data'!AK101</f>
        <v>0</v>
      </c>
      <c r="AL111" s="23">
        <f>'Master Data'!AL101</f>
        <v>0</v>
      </c>
      <c r="AM111" s="23">
        <f>'Master Data'!AM101</f>
        <v>0</v>
      </c>
      <c r="AN111" s="23">
        <f>'Master Data'!AN101</f>
        <v>0</v>
      </c>
      <c r="AO111" s="23">
        <f>'Master Data'!AO101</f>
        <v>0</v>
      </c>
      <c r="AP111" s="23">
        <f>'Master Data'!AP101</f>
        <v>0</v>
      </c>
      <c r="AQ111" s="23">
        <f t="shared" si="24"/>
        <v>0</v>
      </c>
      <c r="AR111" s="16">
        <f t="shared" si="25"/>
        <v>0</v>
      </c>
      <c r="AS111" s="17">
        <f t="shared" si="22"/>
        <v>0</v>
      </c>
      <c r="AT111" s="16">
        <f t="shared" si="26"/>
        <v>0</v>
      </c>
    </row>
    <row r="112" spans="1:46" ht="15" customHeight="1" outlineLevel="1">
      <c r="A112" s="15" t="str">
        <f>'Master Data'!A102</f>
        <v>BHAGWATIROZ36956</v>
      </c>
      <c r="B112" s="15" t="str">
        <f>'Master Data'!B102</f>
        <v>BW</v>
      </c>
      <c r="C112" s="15" t="str">
        <f>'Master Data'!C102</f>
        <v>BWROZ36956</v>
      </c>
      <c r="D112" s="15" t="str">
        <f>'Master Data'!D102</f>
        <v>BHAGWATI</v>
      </c>
      <c r="E112" s="15" t="str">
        <f>'Master Data'!E102</f>
        <v>Kolkata</v>
      </c>
      <c r="F112" s="15" t="str">
        <f>'Master Data'!F102</f>
        <v>Biscuits</v>
      </c>
      <c r="G112" s="15" t="str">
        <f>'Master Data'!G102</f>
        <v>ROZ36956</v>
      </c>
      <c r="H112" s="15" t="str">
        <f>'Master Data'!H102</f>
        <v>Samuh Beat it! Bite it! Orange Cream Biscuit 70 g</v>
      </c>
      <c r="I112" s="23">
        <f>'Master Data'!I102</f>
        <v>10</v>
      </c>
      <c r="J112" s="23">
        <f>'Master Data'!J102</f>
        <v>70</v>
      </c>
      <c r="K112" s="23">
        <f>'Master Data'!K102</f>
        <v>60</v>
      </c>
      <c r="L112" s="24">
        <f>'Master Data'!L102</f>
        <v>0</v>
      </c>
      <c r="M112" s="23">
        <f>'Master Data'!M102</f>
        <v>0</v>
      </c>
      <c r="N112" s="23">
        <f>'Master Data'!N102</f>
        <v>0</v>
      </c>
      <c r="O112" s="23">
        <f>'Master Data'!O102</f>
        <v>0</v>
      </c>
      <c r="P112" s="23">
        <f>'Master Data'!P102</f>
        <v>0</v>
      </c>
      <c r="Q112" s="23">
        <f>'Master Data'!Q102</f>
        <v>0</v>
      </c>
      <c r="R112" s="23">
        <f>'Master Data'!R102</f>
        <v>0</v>
      </c>
      <c r="S112" s="23">
        <f>'Master Data'!S102</f>
        <v>0</v>
      </c>
      <c r="T112" s="23">
        <f>'Master Data'!T102</f>
        <v>0</v>
      </c>
      <c r="U112" s="23">
        <f>'Master Data'!U102</f>
        <v>0</v>
      </c>
      <c r="V112" s="23">
        <f>'Master Data'!V102</f>
        <v>0</v>
      </c>
      <c r="W112" s="23">
        <f>'Master Data'!W102</f>
        <v>0</v>
      </c>
      <c r="X112" s="23">
        <f>'Master Data'!X102</f>
        <v>0</v>
      </c>
      <c r="Y112" s="23">
        <f>'Master Data'!Y102</f>
        <v>0</v>
      </c>
      <c r="Z112" s="23">
        <f>'Master Data'!Z102</f>
        <v>0</v>
      </c>
      <c r="AA112" s="23">
        <f>'Master Data'!AA102</f>
        <v>0</v>
      </c>
      <c r="AB112" s="23">
        <f>'Master Data'!AB102</f>
        <v>0</v>
      </c>
      <c r="AC112" s="23">
        <f>'Master Data'!AC102</f>
        <v>0</v>
      </c>
      <c r="AD112" s="23">
        <f>'Master Data'!AD102</f>
        <v>0</v>
      </c>
      <c r="AE112" s="23">
        <f>'Master Data'!AE102</f>
        <v>0</v>
      </c>
      <c r="AF112" s="23">
        <f>'Master Data'!AF102</f>
        <v>0</v>
      </c>
      <c r="AG112" s="23">
        <f>'Master Data'!AG102</f>
        <v>0</v>
      </c>
      <c r="AH112" s="23">
        <f>'Master Data'!AH102</f>
        <v>0</v>
      </c>
      <c r="AI112" s="23">
        <f>'Master Data'!AI102</f>
        <v>0</v>
      </c>
      <c r="AJ112" s="23">
        <f>'Master Data'!AJ102</f>
        <v>0</v>
      </c>
      <c r="AK112" s="23">
        <f>'Master Data'!AK102</f>
        <v>0</v>
      </c>
      <c r="AL112" s="23">
        <f>'Master Data'!AL102</f>
        <v>0</v>
      </c>
      <c r="AM112" s="23">
        <f>'Master Data'!AM102</f>
        <v>0</v>
      </c>
      <c r="AN112" s="23">
        <f>'Master Data'!AN102</f>
        <v>0</v>
      </c>
      <c r="AO112" s="23">
        <f>'Master Data'!AO102</f>
        <v>0</v>
      </c>
      <c r="AP112" s="23">
        <f>'Master Data'!AP102</f>
        <v>0</v>
      </c>
      <c r="AQ112" s="23">
        <f t="shared" si="24"/>
        <v>0</v>
      </c>
      <c r="AR112" s="16">
        <f t="shared" si="25"/>
        <v>0</v>
      </c>
      <c r="AS112" s="17">
        <f t="shared" si="22"/>
        <v>0</v>
      </c>
      <c r="AT112" s="16">
        <f t="shared" si="26"/>
        <v>0</v>
      </c>
    </row>
    <row r="113" spans="1:46" ht="15" customHeight="1" outlineLevel="1">
      <c r="A113" s="15" t="str">
        <f>'Master Data'!A103</f>
        <v>BHAGWATIROZ36957</v>
      </c>
      <c r="B113" s="15" t="str">
        <f>'Master Data'!B103</f>
        <v>BW</v>
      </c>
      <c r="C113" s="15" t="str">
        <f>'Master Data'!C103</f>
        <v>BWROZ36957</v>
      </c>
      <c r="D113" s="15" t="str">
        <f>'Master Data'!D103</f>
        <v>BHAGWATI</v>
      </c>
      <c r="E113" s="15" t="str">
        <f>'Master Data'!E103</f>
        <v>Kolkata</v>
      </c>
      <c r="F113" s="15" t="str">
        <f>'Master Data'!F103</f>
        <v>Biscuits</v>
      </c>
      <c r="G113" s="15" t="str">
        <f>'Master Data'!G103</f>
        <v>ROZ36957</v>
      </c>
      <c r="H113" s="15" t="str">
        <f>'Master Data'!H103</f>
        <v>Samuh Coconut Cookies Biscuit 70g</v>
      </c>
      <c r="I113" s="23">
        <f>'Master Data'!I103</f>
        <v>10</v>
      </c>
      <c r="J113" s="23">
        <f>'Master Data'!J103</f>
        <v>70</v>
      </c>
      <c r="K113" s="23">
        <f>'Master Data'!K103</f>
        <v>60</v>
      </c>
      <c r="L113" s="24">
        <f>'Master Data'!L103</f>
        <v>0</v>
      </c>
      <c r="M113" s="23">
        <f>'Master Data'!M103</f>
        <v>0</v>
      </c>
      <c r="N113" s="23">
        <f>'Master Data'!N103</f>
        <v>0</v>
      </c>
      <c r="O113" s="23">
        <f>'Master Data'!O103</f>
        <v>0</v>
      </c>
      <c r="P113" s="23">
        <f>'Master Data'!P103</f>
        <v>0</v>
      </c>
      <c r="Q113" s="23">
        <f>'Master Data'!Q103</f>
        <v>0</v>
      </c>
      <c r="R113" s="23">
        <f>'Master Data'!R103</f>
        <v>0</v>
      </c>
      <c r="S113" s="23">
        <f>'Master Data'!S103</f>
        <v>0</v>
      </c>
      <c r="T113" s="23">
        <f>'Master Data'!T103</f>
        <v>0</v>
      </c>
      <c r="U113" s="23">
        <f>'Master Data'!U103</f>
        <v>0</v>
      </c>
      <c r="V113" s="23">
        <f>'Master Data'!V103</f>
        <v>0</v>
      </c>
      <c r="W113" s="23">
        <f>'Master Data'!W103</f>
        <v>0</v>
      </c>
      <c r="X113" s="23">
        <f>'Master Data'!X103</f>
        <v>0</v>
      </c>
      <c r="Y113" s="23">
        <f>'Master Data'!Y103</f>
        <v>0</v>
      </c>
      <c r="Z113" s="23">
        <f>'Master Data'!Z103</f>
        <v>0</v>
      </c>
      <c r="AA113" s="23">
        <f>'Master Data'!AA103</f>
        <v>0</v>
      </c>
      <c r="AB113" s="23">
        <f>'Master Data'!AB103</f>
        <v>0</v>
      </c>
      <c r="AC113" s="23">
        <f>'Master Data'!AC103</f>
        <v>0</v>
      </c>
      <c r="AD113" s="23">
        <f>'Master Data'!AD103</f>
        <v>0</v>
      </c>
      <c r="AE113" s="23">
        <f>'Master Data'!AE103</f>
        <v>0</v>
      </c>
      <c r="AF113" s="23">
        <f>'Master Data'!AF103</f>
        <v>0</v>
      </c>
      <c r="AG113" s="23">
        <f>'Master Data'!AG103</f>
        <v>0</v>
      </c>
      <c r="AH113" s="23">
        <f>'Master Data'!AH103</f>
        <v>0</v>
      </c>
      <c r="AI113" s="23">
        <f>'Master Data'!AI103</f>
        <v>0</v>
      </c>
      <c r="AJ113" s="23">
        <f>'Master Data'!AJ103</f>
        <v>0</v>
      </c>
      <c r="AK113" s="23">
        <f>'Master Data'!AK103</f>
        <v>0</v>
      </c>
      <c r="AL113" s="23">
        <f>'Master Data'!AL103</f>
        <v>0</v>
      </c>
      <c r="AM113" s="23">
        <f>'Master Data'!AM103</f>
        <v>0</v>
      </c>
      <c r="AN113" s="23">
        <f>'Master Data'!AN103</f>
        <v>0</v>
      </c>
      <c r="AO113" s="23">
        <f>'Master Data'!AO103</f>
        <v>0</v>
      </c>
      <c r="AP113" s="23">
        <f>'Master Data'!AP103</f>
        <v>0</v>
      </c>
      <c r="AQ113" s="23">
        <f t="shared" si="24"/>
        <v>0</v>
      </c>
      <c r="AR113" s="16">
        <f t="shared" si="25"/>
        <v>0</v>
      </c>
      <c r="AS113" s="17">
        <f t="shared" si="22"/>
        <v>0</v>
      </c>
      <c r="AT113" s="16">
        <f t="shared" si="26"/>
        <v>0</v>
      </c>
    </row>
    <row r="114" spans="1:46" ht="15" customHeight="1" outlineLevel="1">
      <c r="A114" s="15" t="str">
        <f>'Master Data'!A104</f>
        <v>BHAGWATIROZ39495</v>
      </c>
      <c r="B114" s="15" t="str">
        <f>'Master Data'!B104</f>
        <v>BW</v>
      </c>
      <c r="C114" s="15" t="str">
        <f>'Master Data'!C104</f>
        <v>BWROZ39495</v>
      </c>
      <c r="D114" s="15" t="str">
        <f>'Master Data'!D104</f>
        <v>BHAGWATI</v>
      </c>
      <c r="E114" s="15" t="str">
        <f>'Master Data'!E104</f>
        <v>Kolkata</v>
      </c>
      <c r="F114" s="15" t="str">
        <f>'Master Data'!F104</f>
        <v>Biscuits</v>
      </c>
      <c r="G114" s="15" t="str">
        <f>'Master Data'!G104</f>
        <v>ROZ39495</v>
      </c>
      <c r="H114" s="15" t="str">
        <f>'Master Data'!H104</f>
        <v>Samuh Milky Biscuit 70 g</v>
      </c>
      <c r="I114" s="23">
        <f>'Master Data'!I104</f>
        <v>10</v>
      </c>
      <c r="J114" s="23">
        <f>'Master Data'!J104</f>
        <v>70</v>
      </c>
      <c r="K114" s="23">
        <f>'Master Data'!K104</f>
        <v>72</v>
      </c>
      <c r="L114" s="24">
        <f>'Master Data'!L104</f>
        <v>0</v>
      </c>
      <c r="M114" s="23">
        <f>'Master Data'!M104</f>
        <v>0</v>
      </c>
      <c r="N114" s="23">
        <f>'Master Data'!N104</f>
        <v>0</v>
      </c>
      <c r="O114" s="23">
        <f>'Master Data'!O104</f>
        <v>0</v>
      </c>
      <c r="P114" s="23">
        <f>'Master Data'!P104</f>
        <v>0</v>
      </c>
      <c r="Q114" s="23">
        <f>'Master Data'!Q104</f>
        <v>0</v>
      </c>
      <c r="R114" s="23">
        <f>'Master Data'!R104</f>
        <v>0</v>
      </c>
      <c r="S114" s="23">
        <f>'Master Data'!S104</f>
        <v>0</v>
      </c>
      <c r="T114" s="23">
        <f>'Master Data'!T104</f>
        <v>0</v>
      </c>
      <c r="U114" s="23">
        <f>'Master Data'!U104</f>
        <v>0</v>
      </c>
      <c r="V114" s="23">
        <f>'Master Data'!V104</f>
        <v>0</v>
      </c>
      <c r="W114" s="23">
        <f>'Master Data'!W104</f>
        <v>0</v>
      </c>
      <c r="X114" s="23">
        <f>'Master Data'!X104</f>
        <v>0</v>
      </c>
      <c r="Y114" s="23">
        <f>'Master Data'!Y104</f>
        <v>0</v>
      </c>
      <c r="Z114" s="23">
        <f>'Master Data'!Z104</f>
        <v>0</v>
      </c>
      <c r="AA114" s="23">
        <f>'Master Data'!AA104</f>
        <v>0</v>
      </c>
      <c r="AB114" s="23">
        <f>'Master Data'!AB104</f>
        <v>0</v>
      </c>
      <c r="AC114" s="23">
        <f>'Master Data'!AC104</f>
        <v>0</v>
      </c>
      <c r="AD114" s="23">
        <f>'Master Data'!AD104</f>
        <v>0</v>
      </c>
      <c r="AE114" s="23">
        <f>'Master Data'!AE104</f>
        <v>0</v>
      </c>
      <c r="AF114" s="23">
        <f>'Master Data'!AF104</f>
        <v>0</v>
      </c>
      <c r="AG114" s="23">
        <f>'Master Data'!AG104</f>
        <v>0</v>
      </c>
      <c r="AH114" s="23">
        <f>'Master Data'!AH104</f>
        <v>0</v>
      </c>
      <c r="AI114" s="23">
        <f>'Master Data'!AI104</f>
        <v>0</v>
      </c>
      <c r="AJ114" s="23">
        <f>'Master Data'!AJ104</f>
        <v>0</v>
      </c>
      <c r="AK114" s="23">
        <f>'Master Data'!AK104</f>
        <v>0</v>
      </c>
      <c r="AL114" s="23">
        <f>'Master Data'!AL104</f>
        <v>0</v>
      </c>
      <c r="AM114" s="23">
        <f>'Master Data'!AM104</f>
        <v>0</v>
      </c>
      <c r="AN114" s="23">
        <f>'Master Data'!AN104</f>
        <v>0</v>
      </c>
      <c r="AO114" s="23">
        <f>'Master Data'!AO104</f>
        <v>0</v>
      </c>
      <c r="AP114" s="23">
        <f>'Master Data'!AP104</f>
        <v>0</v>
      </c>
      <c r="AQ114" s="23">
        <f t="shared" si="24"/>
        <v>0</v>
      </c>
      <c r="AR114" s="16">
        <f t="shared" si="25"/>
        <v>0</v>
      </c>
      <c r="AS114" s="17">
        <f t="shared" si="22"/>
        <v>0</v>
      </c>
      <c r="AT114" s="16">
        <f t="shared" si="26"/>
        <v>0</v>
      </c>
    </row>
    <row r="115" spans="1:46" ht="15" customHeight="1" outlineLevel="1">
      <c r="A115" s="15" t="str">
        <f>'Master Data'!A105</f>
        <v>BHAGWATIROZ36959</v>
      </c>
      <c r="B115" s="15" t="str">
        <f>'Master Data'!B105</f>
        <v>BW</v>
      </c>
      <c r="C115" s="15" t="str">
        <f>'Master Data'!C105</f>
        <v>BWROZ36959</v>
      </c>
      <c r="D115" s="15" t="str">
        <f>'Master Data'!D105</f>
        <v>BHAGWATI</v>
      </c>
      <c r="E115" s="15" t="str">
        <f>'Master Data'!E105</f>
        <v>Kolkata</v>
      </c>
      <c r="F115" s="15" t="str">
        <f>'Master Data'!F105</f>
        <v>Biscuits</v>
      </c>
      <c r="G115" s="15" t="str">
        <f>'Master Data'!G105</f>
        <v>ROZ36959</v>
      </c>
      <c r="H115" s="15" t="str">
        <f>'Master Data'!H105</f>
        <v>Samuh Salty Sweety Biscuit 65 g</v>
      </c>
      <c r="I115" s="23">
        <f>'Master Data'!I105</f>
        <v>10</v>
      </c>
      <c r="J115" s="23">
        <f>'Master Data'!J105</f>
        <v>65</v>
      </c>
      <c r="K115" s="23">
        <f>'Master Data'!K105</f>
        <v>60</v>
      </c>
      <c r="L115" s="24">
        <f>'Master Data'!L105</f>
        <v>0</v>
      </c>
      <c r="M115" s="23">
        <f>'Master Data'!M105</f>
        <v>0</v>
      </c>
      <c r="N115" s="23">
        <f>'Master Data'!N105</f>
        <v>0</v>
      </c>
      <c r="O115" s="23">
        <f>'Master Data'!O105</f>
        <v>0</v>
      </c>
      <c r="P115" s="23">
        <f>'Master Data'!P105</f>
        <v>0</v>
      </c>
      <c r="Q115" s="23">
        <f>'Master Data'!Q105</f>
        <v>0</v>
      </c>
      <c r="R115" s="23">
        <f>'Master Data'!R105</f>
        <v>0</v>
      </c>
      <c r="S115" s="23">
        <f>'Master Data'!S105</f>
        <v>0</v>
      </c>
      <c r="T115" s="23">
        <f>'Master Data'!T105</f>
        <v>0</v>
      </c>
      <c r="U115" s="23">
        <f>'Master Data'!U105</f>
        <v>0</v>
      </c>
      <c r="V115" s="23">
        <f>'Master Data'!V105</f>
        <v>0</v>
      </c>
      <c r="W115" s="23">
        <f>'Master Data'!W105</f>
        <v>0</v>
      </c>
      <c r="X115" s="23">
        <f>'Master Data'!X105</f>
        <v>0</v>
      </c>
      <c r="Y115" s="23">
        <f>'Master Data'!Y105</f>
        <v>0</v>
      </c>
      <c r="Z115" s="23">
        <f>'Master Data'!Z105</f>
        <v>0</v>
      </c>
      <c r="AA115" s="23">
        <f>'Master Data'!AA105</f>
        <v>0</v>
      </c>
      <c r="AB115" s="23">
        <f>'Master Data'!AB105</f>
        <v>0</v>
      </c>
      <c r="AC115" s="23">
        <f>'Master Data'!AC105</f>
        <v>0</v>
      </c>
      <c r="AD115" s="23">
        <f>'Master Data'!AD105</f>
        <v>0</v>
      </c>
      <c r="AE115" s="23">
        <f>'Master Data'!AE105</f>
        <v>0</v>
      </c>
      <c r="AF115" s="23">
        <f>'Master Data'!AF105</f>
        <v>0</v>
      </c>
      <c r="AG115" s="23">
        <f>'Master Data'!AG105</f>
        <v>0</v>
      </c>
      <c r="AH115" s="23">
        <f>'Master Data'!AH105</f>
        <v>0</v>
      </c>
      <c r="AI115" s="23">
        <f>'Master Data'!AI105</f>
        <v>0</v>
      </c>
      <c r="AJ115" s="23">
        <f>'Master Data'!AJ105</f>
        <v>0</v>
      </c>
      <c r="AK115" s="23">
        <f>'Master Data'!AK105</f>
        <v>0</v>
      </c>
      <c r="AL115" s="23">
        <f>'Master Data'!AL105</f>
        <v>0</v>
      </c>
      <c r="AM115" s="23">
        <f>'Master Data'!AM105</f>
        <v>0</v>
      </c>
      <c r="AN115" s="23">
        <f>'Master Data'!AN105</f>
        <v>0</v>
      </c>
      <c r="AO115" s="23">
        <f>'Master Data'!AO105</f>
        <v>0</v>
      </c>
      <c r="AP115" s="23">
        <f>'Master Data'!AP105</f>
        <v>0</v>
      </c>
      <c r="AQ115" s="23">
        <f t="shared" si="24"/>
        <v>0</v>
      </c>
      <c r="AR115" s="16">
        <f t="shared" si="25"/>
        <v>0</v>
      </c>
      <c r="AS115" s="17">
        <f t="shared" si="22"/>
        <v>0</v>
      </c>
      <c r="AT115" s="16">
        <f t="shared" si="26"/>
        <v>0</v>
      </c>
    </row>
    <row r="116" spans="1:46" ht="15" customHeight="1" outlineLevel="1">
      <c r="A116" s="15" t="str">
        <f>'Master Data'!A106</f>
        <v>BHAGWATIROZ36958</v>
      </c>
      <c r="B116" s="15" t="str">
        <f>'Master Data'!B106</f>
        <v>BW</v>
      </c>
      <c r="C116" s="15" t="str">
        <f>'Master Data'!C106</f>
        <v>BWROZ36958</v>
      </c>
      <c r="D116" s="15" t="str">
        <f>'Master Data'!D106</f>
        <v>BHAGWATI</v>
      </c>
      <c r="E116" s="15" t="str">
        <f>'Master Data'!E106</f>
        <v>Kolkata</v>
      </c>
      <c r="F116" s="15" t="str">
        <f>'Master Data'!F106</f>
        <v>Biscuits</v>
      </c>
      <c r="G116" s="15" t="str">
        <f>'Master Data'!G106</f>
        <v>ROZ36958</v>
      </c>
      <c r="H116" s="15" t="str">
        <f>'Master Data'!H106</f>
        <v>Samuh Butter Cookies Biscuit 65g</v>
      </c>
      <c r="I116" s="23">
        <f>'Master Data'!I106</f>
        <v>10</v>
      </c>
      <c r="J116" s="23">
        <f>'Master Data'!J106</f>
        <v>65</v>
      </c>
      <c r="K116" s="23">
        <f>'Master Data'!K106</f>
        <v>60</v>
      </c>
      <c r="L116" s="24">
        <f>'Master Data'!L106</f>
        <v>0</v>
      </c>
      <c r="M116" s="23">
        <f>'Master Data'!M106</f>
        <v>0</v>
      </c>
      <c r="N116" s="23">
        <f>'Master Data'!N106</f>
        <v>0</v>
      </c>
      <c r="O116" s="23">
        <f>'Master Data'!O106</f>
        <v>0</v>
      </c>
      <c r="P116" s="23">
        <f>'Master Data'!P106</f>
        <v>0</v>
      </c>
      <c r="Q116" s="23">
        <f>'Master Data'!Q106</f>
        <v>0</v>
      </c>
      <c r="R116" s="23">
        <f>'Master Data'!R106</f>
        <v>0</v>
      </c>
      <c r="S116" s="23">
        <f>'Master Data'!S106</f>
        <v>0</v>
      </c>
      <c r="T116" s="23">
        <f>'Master Data'!T106</f>
        <v>0</v>
      </c>
      <c r="U116" s="23">
        <f>'Master Data'!U106</f>
        <v>0</v>
      </c>
      <c r="V116" s="23">
        <f>'Master Data'!V106</f>
        <v>0</v>
      </c>
      <c r="W116" s="23">
        <f>'Master Data'!W106</f>
        <v>0</v>
      </c>
      <c r="X116" s="23">
        <f>'Master Data'!X106</f>
        <v>0</v>
      </c>
      <c r="Y116" s="23">
        <f>'Master Data'!Y106</f>
        <v>0</v>
      </c>
      <c r="Z116" s="23">
        <f>'Master Data'!Z106</f>
        <v>0</v>
      </c>
      <c r="AA116" s="23">
        <f>'Master Data'!AA106</f>
        <v>0</v>
      </c>
      <c r="AB116" s="23">
        <f>'Master Data'!AB106</f>
        <v>0</v>
      </c>
      <c r="AC116" s="23">
        <f>'Master Data'!AC106</f>
        <v>0</v>
      </c>
      <c r="AD116" s="23">
        <f>'Master Data'!AD106</f>
        <v>0</v>
      </c>
      <c r="AE116" s="23">
        <f>'Master Data'!AE106</f>
        <v>0</v>
      </c>
      <c r="AF116" s="23">
        <f>'Master Data'!AF106</f>
        <v>0</v>
      </c>
      <c r="AG116" s="23">
        <f>'Master Data'!AG106</f>
        <v>0</v>
      </c>
      <c r="AH116" s="23">
        <f>'Master Data'!AH106</f>
        <v>0</v>
      </c>
      <c r="AI116" s="23">
        <f>'Master Data'!AI106</f>
        <v>0</v>
      </c>
      <c r="AJ116" s="23">
        <f>'Master Data'!AJ106</f>
        <v>0</v>
      </c>
      <c r="AK116" s="23">
        <f>'Master Data'!AK106</f>
        <v>0</v>
      </c>
      <c r="AL116" s="23">
        <f>'Master Data'!AL106</f>
        <v>0</v>
      </c>
      <c r="AM116" s="23">
        <f>'Master Data'!AM106</f>
        <v>0</v>
      </c>
      <c r="AN116" s="23">
        <f>'Master Data'!AN106</f>
        <v>0</v>
      </c>
      <c r="AO116" s="23">
        <f>'Master Data'!AO106</f>
        <v>0</v>
      </c>
      <c r="AP116" s="23">
        <f>'Master Data'!AP106</f>
        <v>0</v>
      </c>
      <c r="AQ116" s="23">
        <f t="shared" si="24"/>
        <v>0</v>
      </c>
      <c r="AR116" s="16">
        <f t="shared" si="25"/>
        <v>0</v>
      </c>
      <c r="AS116" s="17">
        <f t="shared" si="22"/>
        <v>0</v>
      </c>
      <c r="AT116" s="16">
        <f t="shared" si="26"/>
        <v>0</v>
      </c>
    </row>
    <row r="117" spans="1:46" ht="15" customHeight="1" outlineLevel="1">
      <c r="A117" s="15" t="str">
        <f>'Master Data'!A107</f>
        <v>BHAGWATIROZ36962</v>
      </c>
      <c r="B117" s="15" t="str">
        <f>'Master Data'!B107</f>
        <v>BW</v>
      </c>
      <c r="C117" s="15" t="str">
        <f>'Master Data'!C107</f>
        <v>BWROZ36962</v>
      </c>
      <c r="D117" s="15" t="str">
        <f>'Master Data'!D107</f>
        <v>BHAGWATI</v>
      </c>
      <c r="E117" s="15" t="str">
        <f>'Master Data'!E107</f>
        <v>Kolkata</v>
      </c>
      <c r="F117" s="15" t="str">
        <f>'Master Data'!F107</f>
        <v>Biscuits</v>
      </c>
      <c r="G117" s="15" t="str">
        <f>'Master Data'!G107</f>
        <v>ROZ36962</v>
      </c>
      <c r="H117" s="15" t="str">
        <f>'Master Data'!H107</f>
        <v>Samuh Marie Biscuit 75g</v>
      </c>
      <c r="I117" s="23">
        <f>'Master Data'!I107</f>
        <v>10</v>
      </c>
      <c r="J117" s="23">
        <f>'Master Data'!J107</f>
        <v>75</v>
      </c>
      <c r="K117" s="23">
        <f>'Master Data'!K107</f>
        <v>72</v>
      </c>
      <c r="L117" s="24">
        <f>'Master Data'!L107</f>
        <v>0</v>
      </c>
      <c r="M117" s="23">
        <f>'Master Data'!M107</f>
        <v>0</v>
      </c>
      <c r="N117" s="23">
        <f>'Master Data'!N107</f>
        <v>0</v>
      </c>
      <c r="O117" s="23">
        <f>'Master Data'!O107</f>
        <v>0</v>
      </c>
      <c r="P117" s="23">
        <f>'Master Data'!P107</f>
        <v>0</v>
      </c>
      <c r="Q117" s="23">
        <f>'Master Data'!Q107</f>
        <v>0</v>
      </c>
      <c r="R117" s="23">
        <f>'Master Data'!R107</f>
        <v>0</v>
      </c>
      <c r="S117" s="23">
        <f>'Master Data'!S107</f>
        <v>0</v>
      </c>
      <c r="T117" s="23">
        <f>'Master Data'!T107</f>
        <v>0</v>
      </c>
      <c r="U117" s="23">
        <f>'Master Data'!U107</f>
        <v>0</v>
      </c>
      <c r="V117" s="23">
        <f>'Master Data'!V107</f>
        <v>0</v>
      </c>
      <c r="W117" s="23">
        <f>'Master Data'!W107</f>
        <v>0</v>
      </c>
      <c r="X117" s="23">
        <f>'Master Data'!X107</f>
        <v>0</v>
      </c>
      <c r="Y117" s="23">
        <f>'Master Data'!Y107</f>
        <v>0</v>
      </c>
      <c r="Z117" s="23">
        <f>'Master Data'!Z107</f>
        <v>0</v>
      </c>
      <c r="AA117" s="23">
        <f>'Master Data'!AA107</f>
        <v>0</v>
      </c>
      <c r="AB117" s="23">
        <f>'Master Data'!AB107</f>
        <v>0</v>
      </c>
      <c r="AC117" s="23">
        <f>'Master Data'!AC107</f>
        <v>0</v>
      </c>
      <c r="AD117" s="23">
        <f>'Master Data'!AD107</f>
        <v>0</v>
      </c>
      <c r="AE117" s="23">
        <f>'Master Data'!AE107</f>
        <v>0</v>
      </c>
      <c r="AF117" s="23">
        <f>'Master Data'!AF107</f>
        <v>0</v>
      </c>
      <c r="AG117" s="23">
        <f>'Master Data'!AG107</f>
        <v>0</v>
      </c>
      <c r="AH117" s="23">
        <f>'Master Data'!AH107</f>
        <v>0</v>
      </c>
      <c r="AI117" s="23">
        <f>'Master Data'!AI107</f>
        <v>0</v>
      </c>
      <c r="AJ117" s="23">
        <f>'Master Data'!AJ107</f>
        <v>0</v>
      </c>
      <c r="AK117" s="23">
        <f>'Master Data'!AK107</f>
        <v>0</v>
      </c>
      <c r="AL117" s="23">
        <f>'Master Data'!AL107</f>
        <v>0</v>
      </c>
      <c r="AM117" s="23">
        <f>'Master Data'!AM107</f>
        <v>0</v>
      </c>
      <c r="AN117" s="23">
        <f>'Master Data'!AN107</f>
        <v>0</v>
      </c>
      <c r="AO117" s="23">
        <f>'Master Data'!AO107</f>
        <v>0</v>
      </c>
      <c r="AP117" s="23">
        <f>'Master Data'!AP107</f>
        <v>0</v>
      </c>
      <c r="AQ117" s="23">
        <f t="shared" si="24"/>
        <v>0</v>
      </c>
      <c r="AR117" s="16">
        <f t="shared" si="25"/>
        <v>0</v>
      </c>
      <c r="AS117" s="17">
        <f t="shared" si="22"/>
        <v>0</v>
      </c>
      <c r="AT117" s="16">
        <f t="shared" si="26"/>
        <v>0</v>
      </c>
    </row>
    <row r="118" spans="1:46" ht="15" customHeight="1" outlineLevel="1">
      <c r="A118" s="15" t="str">
        <f>'Master Data'!A108</f>
        <v>BHAGWATIROZ36961</v>
      </c>
      <c r="B118" s="15" t="str">
        <f>'Master Data'!B108</f>
        <v>BW</v>
      </c>
      <c r="C118" s="15" t="str">
        <f>'Master Data'!C108</f>
        <v>BWROZ36961</v>
      </c>
      <c r="D118" s="15" t="str">
        <f>'Master Data'!D108</f>
        <v>BHAGWATI</v>
      </c>
      <c r="E118" s="15" t="str">
        <f>'Master Data'!E108</f>
        <v>Kolkata</v>
      </c>
      <c r="F118" s="15" t="str">
        <f>'Master Data'!F108</f>
        <v>Biscuits</v>
      </c>
      <c r="G118" s="15" t="str">
        <f>'Master Data'!G108</f>
        <v>ROZ36961</v>
      </c>
      <c r="H118" s="15" t="str">
        <f>'Master Data'!H108</f>
        <v>Samuh Butter Kalonji Bliss 65g</v>
      </c>
      <c r="I118" s="23">
        <f>'Master Data'!I108</f>
        <v>10</v>
      </c>
      <c r="J118" s="23">
        <f>'Master Data'!J108</f>
        <v>65</v>
      </c>
      <c r="K118" s="23">
        <f>'Master Data'!K108</f>
        <v>72</v>
      </c>
      <c r="L118" s="24">
        <f>'Master Data'!L108</f>
        <v>0</v>
      </c>
      <c r="M118" s="23">
        <f>'Master Data'!M108</f>
        <v>0</v>
      </c>
      <c r="N118" s="23">
        <f>'Master Data'!N108</f>
        <v>0</v>
      </c>
      <c r="O118" s="23">
        <f>'Master Data'!O108</f>
        <v>0</v>
      </c>
      <c r="P118" s="23">
        <f>'Master Data'!P108</f>
        <v>0</v>
      </c>
      <c r="Q118" s="23">
        <f>'Master Data'!Q108</f>
        <v>0</v>
      </c>
      <c r="R118" s="23">
        <f>'Master Data'!R108</f>
        <v>0</v>
      </c>
      <c r="S118" s="23">
        <f>'Master Data'!S108</f>
        <v>0</v>
      </c>
      <c r="T118" s="23">
        <f>'Master Data'!T108</f>
        <v>0</v>
      </c>
      <c r="U118" s="23">
        <f>'Master Data'!U108</f>
        <v>0</v>
      </c>
      <c r="V118" s="23">
        <f>'Master Data'!V108</f>
        <v>0</v>
      </c>
      <c r="W118" s="23">
        <f>'Master Data'!W108</f>
        <v>0</v>
      </c>
      <c r="X118" s="23">
        <f>'Master Data'!X108</f>
        <v>0</v>
      </c>
      <c r="Y118" s="23">
        <f>'Master Data'!Y108</f>
        <v>0</v>
      </c>
      <c r="Z118" s="23">
        <f>'Master Data'!Z108</f>
        <v>0</v>
      </c>
      <c r="AA118" s="23">
        <f>'Master Data'!AA108</f>
        <v>0</v>
      </c>
      <c r="AB118" s="23">
        <f>'Master Data'!AB108</f>
        <v>0</v>
      </c>
      <c r="AC118" s="23">
        <f>'Master Data'!AC108</f>
        <v>0</v>
      </c>
      <c r="AD118" s="23">
        <f>'Master Data'!AD108</f>
        <v>0</v>
      </c>
      <c r="AE118" s="23">
        <f>'Master Data'!AE108</f>
        <v>0</v>
      </c>
      <c r="AF118" s="23">
        <f>'Master Data'!AF108</f>
        <v>0</v>
      </c>
      <c r="AG118" s="23">
        <f>'Master Data'!AG108</f>
        <v>0</v>
      </c>
      <c r="AH118" s="23">
        <f>'Master Data'!AH108</f>
        <v>0</v>
      </c>
      <c r="AI118" s="23">
        <f>'Master Data'!AI108</f>
        <v>0</v>
      </c>
      <c r="AJ118" s="23">
        <f>'Master Data'!AJ108</f>
        <v>0</v>
      </c>
      <c r="AK118" s="23">
        <f>'Master Data'!AK108</f>
        <v>0</v>
      </c>
      <c r="AL118" s="23">
        <f>'Master Data'!AL108</f>
        <v>0</v>
      </c>
      <c r="AM118" s="23">
        <f>'Master Data'!AM108</f>
        <v>0</v>
      </c>
      <c r="AN118" s="23">
        <f>'Master Data'!AN108</f>
        <v>0</v>
      </c>
      <c r="AO118" s="23">
        <f>'Master Data'!AO108</f>
        <v>0</v>
      </c>
      <c r="AP118" s="23">
        <f>'Master Data'!AP108</f>
        <v>0</v>
      </c>
      <c r="AQ118" s="23">
        <f t="shared" si="24"/>
        <v>0</v>
      </c>
      <c r="AR118" s="16">
        <f t="shared" si="25"/>
        <v>0</v>
      </c>
      <c r="AS118" s="17">
        <f t="shared" si="22"/>
        <v>0</v>
      </c>
      <c r="AT118" s="16">
        <f t="shared" si="26"/>
        <v>0</v>
      </c>
    </row>
    <row r="119" spans="1:46" ht="15" customHeight="1" outlineLevel="1">
      <c r="A119" s="15" t="str">
        <f>'Master Data'!A109</f>
        <v>BHAGWATIROZ36960</v>
      </c>
      <c r="B119" s="15" t="str">
        <f>'Master Data'!B109</f>
        <v>BW</v>
      </c>
      <c r="C119" s="15" t="str">
        <f>'Master Data'!C109</f>
        <v>BWROZ36960</v>
      </c>
      <c r="D119" s="15" t="str">
        <f>'Master Data'!D109</f>
        <v>BHAGWATI</v>
      </c>
      <c r="E119" s="15" t="str">
        <f>'Master Data'!E109</f>
        <v>Kolkata</v>
      </c>
      <c r="F119" s="15" t="str">
        <f>'Master Data'!F109</f>
        <v>Biscuits</v>
      </c>
      <c r="G119" s="15" t="str">
        <f>'Master Data'!G109</f>
        <v>ROZ36960</v>
      </c>
      <c r="H119" s="15" t="str">
        <f>'Master Data'!H109</f>
        <v>Samuh Butter Cashew Biscuit 60g</v>
      </c>
      <c r="I119" s="23">
        <f>'Master Data'!I109</f>
        <v>10</v>
      </c>
      <c r="J119" s="23">
        <f>'Master Data'!J109</f>
        <v>60</v>
      </c>
      <c r="K119" s="23">
        <f>'Master Data'!K109</f>
        <v>60</v>
      </c>
      <c r="L119" s="24">
        <f>'Master Data'!L109</f>
        <v>0</v>
      </c>
      <c r="M119" s="23">
        <f>'Master Data'!M109</f>
        <v>0</v>
      </c>
      <c r="N119" s="23">
        <f>'Master Data'!N109</f>
        <v>0</v>
      </c>
      <c r="O119" s="23">
        <f>'Master Data'!O109</f>
        <v>0</v>
      </c>
      <c r="P119" s="23">
        <f>'Master Data'!P109</f>
        <v>0</v>
      </c>
      <c r="Q119" s="23">
        <f>'Master Data'!Q109</f>
        <v>0</v>
      </c>
      <c r="R119" s="23">
        <f>'Master Data'!R109</f>
        <v>0</v>
      </c>
      <c r="S119" s="23">
        <f>'Master Data'!S109</f>
        <v>0</v>
      </c>
      <c r="T119" s="23">
        <f>'Master Data'!T109</f>
        <v>0</v>
      </c>
      <c r="U119" s="23">
        <f>'Master Data'!U109</f>
        <v>0</v>
      </c>
      <c r="V119" s="23">
        <f>'Master Data'!V109</f>
        <v>0</v>
      </c>
      <c r="W119" s="23">
        <f>'Master Data'!W109</f>
        <v>0</v>
      </c>
      <c r="X119" s="23">
        <f>'Master Data'!X109</f>
        <v>0</v>
      </c>
      <c r="Y119" s="23">
        <f>'Master Data'!Y109</f>
        <v>0</v>
      </c>
      <c r="Z119" s="23">
        <f>'Master Data'!Z109</f>
        <v>0</v>
      </c>
      <c r="AA119" s="23">
        <f>'Master Data'!AA109</f>
        <v>0</v>
      </c>
      <c r="AB119" s="23">
        <f>'Master Data'!AB109</f>
        <v>0</v>
      </c>
      <c r="AC119" s="23">
        <f>'Master Data'!AC109</f>
        <v>0</v>
      </c>
      <c r="AD119" s="23">
        <f>'Master Data'!AD109</f>
        <v>0</v>
      </c>
      <c r="AE119" s="23">
        <f>'Master Data'!AE109</f>
        <v>0</v>
      </c>
      <c r="AF119" s="23">
        <f>'Master Data'!AF109</f>
        <v>0</v>
      </c>
      <c r="AG119" s="23">
        <f>'Master Data'!AG109</f>
        <v>0</v>
      </c>
      <c r="AH119" s="23">
        <f>'Master Data'!AH109</f>
        <v>0</v>
      </c>
      <c r="AI119" s="23">
        <f>'Master Data'!AI109</f>
        <v>0</v>
      </c>
      <c r="AJ119" s="23">
        <f>'Master Data'!AJ109</f>
        <v>0</v>
      </c>
      <c r="AK119" s="23">
        <f>'Master Data'!AK109</f>
        <v>0</v>
      </c>
      <c r="AL119" s="23">
        <f>'Master Data'!AL109</f>
        <v>0</v>
      </c>
      <c r="AM119" s="23">
        <f>'Master Data'!AM109</f>
        <v>0</v>
      </c>
      <c r="AN119" s="23">
        <f>'Master Data'!AN109</f>
        <v>0</v>
      </c>
      <c r="AO119" s="23">
        <f>'Master Data'!AO109</f>
        <v>0</v>
      </c>
      <c r="AP119" s="23">
        <f>'Master Data'!AP109</f>
        <v>0</v>
      </c>
      <c r="AQ119" s="23">
        <f t="shared" si="24"/>
        <v>0</v>
      </c>
      <c r="AR119" s="16">
        <f t="shared" si="25"/>
        <v>0</v>
      </c>
      <c r="AS119" s="17">
        <f t="shared" si="22"/>
        <v>0</v>
      </c>
      <c r="AT119" s="16">
        <f t="shared" si="26"/>
        <v>0</v>
      </c>
    </row>
    <row r="120" spans="1:46" ht="15" customHeight="1" outlineLevel="1">
      <c r="A120" s="15" t="str">
        <f>'Master Data'!A110</f>
        <v>BHAGWATIROZ50020</v>
      </c>
      <c r="B120" s="15" t="str">
        <f>'Master Data'!B110</f>
        <v>BW</v>
      </c>
      <c r="C120" s="15" t="str">
        <f>'Master Data'!C110</f>
        <v>BWROZ50020</v>
      </c>
      <c r="D120" s="15" t="str">
        <f>'Master Data'!D110</f>
        <v>BHAGWATI</v>
      </c>
      <c r="E120" s="15" t="str">
        <f>'Master Data'!E110</f>
        <v>Kolkata</v>
      </c>
      <c r="F120" s="15" t="str">
        <f>'Master Data'!F110</f>
        <v>Biscuits</v>
      </c>
      <c r="G120" s="15" t="str">
        <f>'Master Data'!G110</f>
        <v>ROZ50020</v>
      </c>
      <c r="H120" s="15" t="str">
        <f>'Master Data'!H110</f>
        <v xml:space="preserve">Samuh Marie Biscuit 35 g	</v>
      </c>
      <c r="I120" s="23">
        <f>'Master Data'!I110</f>
        <v>5</v>
      </c>
      <c r="J120" s="23">
        <f>'Master Data'!J110</f>
        <v>35</v>
      </c>
      <c r="K120" s="23">
        <f>'Master Data'!K110</f>
        <v>144</v>
      </c>
      <c r="L120" s="24">
        <f>'Master Data'!L110</f>
        <v>0</v>
      </c>
      <c r="M120" s="23">
        <f>'Master Data'!M110</f>
        <v>0</v>
      </c>
      <c r="N120" s="23">
        <f>'Master Data'!N110</f>
        <v>0</v>
      </c>
      <c r="O120" s="23">
        <f>'Master Data'!O110</f>
        <v>0</v>
      </c>
      <c r="P120" s="23">
        <f>'Master Data'!P110</f>
        <v>0</v>
      </c>
      <c r="Q120" s="23">
        <f>'Master Data'!Q110</f>
        <v>0</v>
      </c>
      <c r="R120" s="23">
        <f>'Master Data'!R110</f>
        <v>0</v>
      </c>
      <c r="S120" s="23">
        <f>'Master Data'!S110</f>
        <v>0</v>
      </c>
      <c r="T120" s="23">
        <f>'Master Data'!T110</f>
        <v>0</v>
      </c>
      <c r="U120" s="23">
        <f>'Master Data'!U110</f>
        <v>0</v>
      </c>
      <c r="V120" s="23">
        <f>'Master Data'!V110</f>
        <v>0</v>
      </c>
      <c r="W120" s="23">
        <f>'Master Data'!W110</f>
        <v>0</v>
      </c>
      <c r="X120" s="23">
        <f>'Master Data'!X110</f>
        <v>0</v>
      </c>
      <c r="Y120" s="23">
        <f>'Master Data'!Y110</f>
        <v>0</v>
      </c>
      <c r="Z120" s="23">
        <f>'Master Data'!Z110</f>
        <v>0</v>
      </c>
      <c r="AA120" s="23">
        <f>'Master Data'!AA110</f>
        <v>0</v>
      </c>
      <c r="AB120" s="23">
        <f>'Master Data'!AB110</f>
        <v>0</v>
      </c>
      <c r="AC120" s="23">
        <f>'Master Data'!AC110</f>
        <v>0</v>
      </c>
      <c r="AD120" s="23">
        <f>'Master Data'!AD110</f>
        <v>0</v>
      </c>
      <c r="AE120" s="23">
        <f>'Master Data'!AE110</f>
        <v>0</v>
      </c>
      <c r="AF120" s="23">
        <f>'Master Data'!AF110</f>
        <v>0</v>
      </c>
      <c r="AG120" s="23">
        <f>'Master Data'!AG110</f>
        <v>0</v>
      </c>
      <c r="AH120" s="23">
        <f>'Master Data'!AH110</f>
        <v>0</v>
      </c>
      <c r="AI120" s="23">
        <f>'Master Data'!AI110</f>
        <v>0</v>
      </c>
      <c r="AJ120" s="23">
        <f>'Master Data'!AJ110</f>
        <v>0</v>
      </c>
      <c r="AK120" s="23">
        <f>'Master Data'!AK110</f>
        <v>0</v>
      </c>
      <c r="AL120" s="23">
        <f>'Master Data'!AL110</f>
        <v>0</v>
      </c>
      <c r="AM120" s="23">
        <f>'Master Data'!AM110</f>
        <v>0</v>
      </c>
      <c r="AN120" s="23">
        <f>'Master Data'!AN110</f>
        <v>0</v>
      </c>
      <c r="AO120" s="23">
        <f>'Master Data'!AO110</f>
        <v>0</v>
      </c>
      <c r="AP120" s="23">
        <f>'Master Data'!AP110</f>
        <v>0</v>
      </c>
      <c r="AQ120" s="23">
        <f t="shared" si="24"/>
        <v>0</v>
      </c>
      <c r="AR120" s="16">
        <f t="shared" si="25"/>
        <v>0</v>
      </c>
      <c r="AS120" s="17">
        <f t="shared" si="22"/>
        <v>0</v>
      </c>
      <c r="AT120" s="16">
        <f t="shared" si="26"/>
        <v>0</v>
      </c>
    </row>
    <row r="121" spans="1:46" ht="15" customHeight="1" outlineLevel="1">
      <c r="A121" s="15" t="str">
        <f>'Master Data'!A111</f>
        <v>BHAGWATI1</v>
      </c>
      <c r="B121" s="15" t="str">
        <f>'Master Data'!B111</f>
        <v>BW</v>
      </c>
      <c r="C121" s="15" t="str">
        <f>'Master Data'!C111</f>
        <v>BW1</v>
      </c>
      <c r="D121" s="15" t="str">
        <f>'Master Data'!D111</f>
        <v>BHAGWATI</v>
      </c>
      <c r="E121" s="15" t="str">
        <f>'Master Data'!E111</f>
        <v>Kolkata</v>
      </c>
      <c r="F121" s="15" t="str">
        <f>'Master Data'!F111</f>
        <v>Biscuits</v>
      </c>
      <c r="G121" s="15">
        <f>'Master Data'!G111</f>
        <v>1</v>
      </c>
      <c r="H121" s="15" t="str">
        <f>'Master Data'!H111</f>
        <v>Marie 30 Rs</v>
      </c>
      <c r="I121" s="15">
        <f>'Master Data'!I111</f>
        <v>30</v>
      </c>
      <c r="J121" s="15">
        <f>'Master Data'!J111</f>
        <v>140</v>
      </c>
      <c r="K121" s="15">
        <f>'Master Data'!K111</f>
        <v>40</v>
      </c>
      <c r="L121" s="24">
        <f>'Master Data'!L111</f>
        <v>0</v>
      </c>
      <c r="M121" s="23">
        <f>'Master Data'!M111</f>
        <v>0</v>
      </c>
      <c r="N121" s="23">
        <f>'Master Data'!N111</f>
        <v>0</v>
      </c>
      <c r="O121" s="23">
        <f>'Master Data'!O111</f>
        <v>0</v>
      </c>
      <c r="P121" s="23">
        <f>'Master Data'!P111</f>
        <v>0</v>
      </c>
      <c r="Q121" s="23">
        <f>'Master Data'!Q111</f>
        <v>0</v>
      </c>
      <c r="R121" s="23">
        <f>'Master Data'!R111</f>
        <v>0</v>
      </c>
      <c r="S121" s="23">
        <f>'Master Data'!S111</f>
        <v>0</v>
      </c>
      <c r="T121" s="23">
        <f>'Master Data'!T111</f>
        <v>0</v>
      </c>
      <c r="U121" s="23">
        <f>'Master Data'!U111</f>
        <v>0</v>
      </c>
      <c r="V121" s="23">
        <f>'Master Data'!V111</f>
        <v>0</v>
      </c>
      <c r="W121" s="23">
        <f>'Master Data'!W111</f>
        <v>0</v>
      </c>
      <c r="X121" s="23">
        <f>'Master Data'!X111</f>
        <v>0</v>
      </c>
      <c r="Y121" s="23">
        <f>'Master Data'!Y111</f>
        <v>0</v>
      </c>
      <c r="Z121" s="23">
        <f>'Master Data'!Z111</f>
        <v>0</v>
      </c>
      <c r="AA121" s="23">
        <f>'Master Data'!AA111</f>
        <v>0</v>
      </c>
      <c r="AB121" s="23">
        <f>'Master Data'!AB111</f>
        <v>0</v>
      </c>
      <c r="AC121" s="23">
        <f>'Master Data'!AC111</f>
        <v>0</v>
      </c>
      <c r="AD121" s="23">
        <f>'Master Data'!AD111</f>
        <v>0</v>
      </c>
      <c r="AE121" s="23">
        <f>'Master Data'!AE111</f>
        <v>0</v>
      </c>
      <c r="AF121" s="23">
        <f>'Master Data'!AF111</f>
        <v>0</v>
      </c>
      <c r="AG121" s="23">
        <f>'Master Data'!AG111</f>
        <v>0</v>
      </c>
      <c r="AH121" s="23">
        <f>'Master Data'!AH111</f>
        <v>0</v>
      </c>
      <c r="AI121" s="23">
        <f>'Master Data'!AI111</f>
        <v>0</v>
      </c>
      <c r="AJ121" s="23">
        <f>'Master Data'!AJ111</f>
        <v>0</v>
      </c>
      <c r="AK121" s="23">
        <f>'Master Data'!AK111</f>
        <v>0</v>
      </c>
      <c r="AL121" s="23">
        <f>'Master Data'!AL111</f>
        <v>0</v>
      </c>
      <c r="AM121" s="23">
        <f>'Master Data'!AM111</f>
        <v>0</v>
      </c>
      <c r="AN121" s="23">
        <f>'Master Data'!AN111</f>
        <v>0</v>
      </c>
      <c r="AO121" s="23">
        <f>'Master Data'!AO111</f>
        <v>0</v>
      </c>
      <c r="AP121" s="23">
        <f>'Master Data'!AP111</f>
        <v>0</v>
      </c>
      <c r="AQ121" s="23">
        <f t="shared" si="24"/>
        <v>0</v>
      </c>
      <c r="AR121" s="16">
        <f t="shared" si="25"/>
        <v>0</v>
      </c>
      <c r="AS121" s="17">
        <f t="shared" si="22"/>
        <v>0</v>
      </c>
      <c r="AT121" s="16">
        <f t="shared" si="26"/>
        <v>0</v>
      </c>
    </row>
    <row r="122" spans="1:46" ht="15" customHeight="1">
      <c r="A122" s="69" t="s">
        <v>58</v>
      </c>
      <c r="B122" s="69"/>
      <c r="C122" s="69"/>
      <c r="D122" s="2"/>
      <c r="E122" s="2"/>
      <c r="F122" s="2"/>
      <c r="G122" s="2"/>
      <c r="H122" s="2"/>
      <c r="I122" s="2"/>
      <c r="J122" s="2"/>
      <c r="K122" s="2"/>
      <c r="L122" s="19">
        <f t="shared" ref="L122:AR122" si="27">SUM(L123:L124)</f>
        <v>0</v>
      </c>
      <c r="M122" s="20">
        <f t="shared" si="27"/>
        <v>0</v>
      </c>
      <c r="N122" s="20">
        <f t="shared" si="27"/>
        <v>0</v>
      </c>
      <c r="O122" s="20">
        <f t="shared" si="27"/>
        <v>0</v>
      </c>
      <c r="P122" s="20">
        <f t="shared" si="27"/>
        <v>0</v>
      </c>
      <c r="Q122" s="20">
        <f t="shared" si="27"/>
        <v>0</v>
      </c>
      <c r="R122" s="20">
        <f t="shared" si="27"/>
        <v>0</v>
      </c>
      <c r="S122" s="20">
        <f t="shared" si="27"/>
        <v>0</v>
      </c>
      <c r="T122" s="20">
        <f t="shared" si="27"/>
        <v>0</v>
      </c>
      <c r="U122" s="20">
        <f t="shared" si="27"/>
        <v>0</v>
      </c>
      <c r="V122" s="20">
        <f t="shared" si="27"/>
        <v>0</v>
      </c>
      <c r="W122" s="20">
        <f t="shared" si="27"/>
        <v>0</v>
      </c>
      <c r="X122" s="20">
        <f t="shared" si="27"/>
        <v>0</v>
      </c>
      <c r="Y122" s="20">
        <f t="shared" si="27"/>
        <v>0</v>
      </c>
      <c r="Z122" s="20">
        <f t="shared" si="27"/>
        <v>0</v>
      </c>
      <c r="AA122" s="20">
        <f t="shared" si="27"/>
        <v>0</v>
      </c>
      <c r="AB122" s="20">
        <f t="shared" si="27"/>
        <v>0</v>
      </c>
      <c r="AC122" s="20">
        <f t="shared" si="27"/>
        <v>0</v>
      </c>
      <c r="AD122" s="20">
        <f t="shared" si="27"/>
        <v>0</v>
      </c>
      <c r="AE122" s="20">
        <f t="shared" si="27"/>
        <v>0</v>
      </c>
      <c r="AF122" s="20">
        <f t="shared" si="27"/>
        <v>0</v>
      </c>
      <c r="AG122" s="20">
        <f t="shared" si="27"/>
        <v>0</v>
      </c>
      <c r="AH122" s="20">
        <f t="shared" si="27"/>
        <v>0</v>
      </c>
      <c r="AI122" s="20">
        <f t="shared" si="27"/>
        <v>0</v>
      </c>
      <c r="AJ122" s="20">
        <f t="shared" si="27"/>
        <v>0</v>
      </c>
      <c r="AK122" s="20">
        <f t="shared" si="27"/>
        <v>0</v>
      </c>
      <c r="AL122" s="20">
        <f t="shared" si="27"/>
        <v>0</v>
      </c>
      <c r="AM122" s="20">
        <f t="shared" si="27"/>
        <v>0</v>
      </c>
      <c r="AN122" s="20">
        <f t="shared" si="27"/>
        <v>0</v>
      </c>
      <c r="AO122" s="20">
        <f t="shared" si="27"/>
        <v>0</v>
      </c>
      <c r="AP122" s="20">
        <f t="shared" si="27"/>
        <v>0</v>
      </c>
      <c r="AQ122" s="20">
        <f t="shared" si="27"/>
        <v>0</v>
      </c>
      <c r="AR122" s="21">
        <f t="shared" si="27"/>
        <v>0</v>
      </c>
      <c r="AS122" s="22">
        <f t="shared" si="22"/>
        <v>0</v>
      </c>
      <c r="AT122" s="21">
        <f>SUM(AT123:AT124)</f>
        <v>0</v>
      </c>
    </row>
    <row r="123" spans="1:46" ht="15" customHeight="1" outlineLevel="1">
      <c r="A123" s="15" t="str">
        <f>'Master Data'!A112</f>
        <v>Shri ShyamROZ23760</v>
      </c>
      <c r="B123" s="15" t="str">
        <f>'Master Data'!B112</f>
        <v>PNB</v>
      </c>
      <c r="C123" s="15" t="str">
        <f>'Master Data'!C112</f>
        <v>PNBROZ23760</v>
      </c>
      <c r="D123" s="15" t="str">
        <f>'Master Data'!D112</f>
        <v>Shri Shyam</v>
      </c>
      <c r="E123" s="15" t="str">
        <f>'Master Data'!E112</f>
        <v>Punjab</v>
      </c>
      <c r="F123" s="15" t="str">
        <f>'Master Data'!F112</f>
        <v>Rusk</v>
      </c>
      <c r="G123" s="15" t="str">
        <f>'Master Data'!G112</f>
        <v>ROZ23760</v>
      </c>
      <c r="H123" s="15" t="str">
        <f>'Master Data'!H112</f>
        <v>Samuh Elaichi Rusk 130 g</v>
      </c>
      <c r="I123" s="23">
        <f>'Master Data'!I112</f>
        <v>20</v>
      </c>
      <c r="J123" s="23">
        <f>'Master Data'!J112</f>
        <v>130</v>
      </c>
      <c r="K123" s="23">
        <f>'Master Data'!K112</f>
        <v>24</v>
      </c>
      <c r="L123" s="24">
        <f>'Master Data'!L112</f>
        <v>0</v>
      </c>
      <c r="M123" s="23">
        <f>'Master Data'!M112</f>
        <v>0</v>
      </c>
      <c r="N123" s="23">
        <f>'Master Data'!N112</f>
        <v>0</v>
      </c>
      <c r="O123" s="23">
        <f>'Master Data'!O112</f>
        <v>0</v>
      </c>
      <c r="P123" s="23">
        <f>'Master Data'!P112</f>
        <v>0</v>
      </c>
      <c r="Q123" s="23">
        <f>'Master Data'!Q112</f>
        <v>0</v>
      </c>
      <c r="R123" s="23">
        <f>'Master Data'!R112</f>
        <v>0</v>
      </c>
      <c r="S123" s="23">
        <f>'Master Data'!S112</f>
        <v>0</v>
      </c>
      <c r="T123" s="23">
        <f>'Master Data'!T112</f>
        <v>0</v>
      </c>
      <c r="U123" s="23">
        <f>'Master Data'!U112</f>
        <v>0</v>
      </c>
      <c r="V123" s="23">
        <f>'Master Data'!V112</f>
        <v>0</v>
      </c>
      <c r="W123" s="23">
        <f>'Master Data'!W112</f>
        <v>0</v>
      </c>
      <c r="X123" s="23">
        <f>'Master Data'!X112</f>
        <v>0</v>
      </c>
      <c r="Y123" s="23">
        <f>'Master Data'!Y112</f>
        <v>0</v>
      </c>
      <c r="Z123" s="23">
        <f>'Master Data'!Z112</f>
        <v>0</v>
      </c>
      <c r="AA123" s="23">
        <f>'Master Data'!AA112</f>
        <v>0</v>
      </c>
      <c r="AB123" s="23">
        <f>'Master Data'!AB112</f>
        <v>0</v>
      </c>
      <c r="AC123" s="23">
        <f>'Master Data'!AC112</f>
        <v>0</v>
      </c>
      <c r="AD123" s="23">
        <f>'Master Data'!AD112</f>
        <v>0</v>
      </c>
      <c r="AE123" s="23">
        <f>'Master Data'!AE112</f>
        <v>0</v>
      </c>
      <c r="AF123" s="23">
        <f>'Master Data'!AF112</f>
        <v>0</v>
      </c>
      <c r="AG123" s="23">
        <f>'Master Data'!AG112</f>
        <v>0</v>
      </c>
      <c r="AH123" s="23">
        <f>'Master Data'!AH112</f>
        <v>0</v>
      </c>
      <c r="AI123" s="23">
        <f>'Master Data'!AI112</f>
        <v>0</v>
      </c>
      <c r="AJ123" s="23">
        <f>'Master Data'!AJ112</f>
        <v>0</v>
      </c>
      <c r="AK123" s="23">
        <f>'Master Data'!AK112</f>
        <v>0</v>
      </c>
      <c r="AL123" s="23">
        <f>'Master Data'!AL112</f>
        <v>0</v>
      </c>
      <c r="AM123" s="23">
        <f>'Master Data'!AM112</f>
        <v>0</v>
      </c>
      <c r="AN123" s="23">
        <f>'Master Data'!AN112</f>
        <v>0</v>
      </c>
      <c r="AO123" s="23">
        <f>'Master Data'!AO112</f>
        <v>0</v>
      </c>
      <c r="AP123" s="23">
        <f>'Master Data'!AP112</f>
        <v>0</v>
      </c>
      <c r="AQ123" s="23">
        <f>SUM(M123:AP123)</f>
        <v>0</v>
      </c>
      <c r="AR123" s="16">
        <f>(AQ123*J123*K123)/1000000</f>
        <v>0</v>
      </c>
      <c r="AS123" s="17">
        <f t="shared" si="22"/>
        <v>0</v>
      </c>
      <c r="AT123" s="16">
        <f>L123-AR123</f>
        <v>0</v>
      </c>
    </row>
    <row r="124" spans="1:46" ht="15" customHeight="1" outlineLevel="1">
      <c r="A124" s="15" t="str">
        <f>'Master Data'!A113</f>
        <v>Shri ShyamROZ23759</v>
      </c>
      <c r="B124" s="15" t="str">
        <f>'Master Data'!B113</f>
        <v>PNB</v>
      </c>
      <c r="C124" s="15" t="str">
        <f>'Master Data'!C113</f>
        <v>PNBROZ23759</v>
      </c>
      <c r="D124" s="15" t="str">
        <f>'Master Data'!D113</f>
        <v>Shri Shyam</v>
      </c>
      <c r="E124" s="15" t="str">
        <f>'Master Data'!E113</f>
        <v>Punjab</v>
      </c>
      <c r="F124" s="15" t="str">
        <f>'Master Data'!F113</f>
        <v>Rusk</v>
      </c>
      <c r="G124" s="15" t="str">
        <f>'Master Data'!G113</f>
        <v>ROZ23759</v>
      </c>
      <c r="H124" s="15" t="str">
        <f>'Master Data'!H113</f>
        <v>Samuh Elaichi Rusk 65 g</v>
      </c>
      <c r="I124" s="23">
        <f>'Master Data'!I113</f>
        <v>10</v>
      </c>
      <c r="J124" s="23">
        <f>'Master Data'!J113</f>
        <v>65</v>
      </c>
      <c r="K124" s="23">
        <f>'Master Data'!K113</f>
        <v>24</v>
      </c>
      <c r="L124" s="24">
        <f>'Master Data'!L113</f>
        <v>0</v>
      </c>
      <c r="M124" s="23">
        <f>'Master Data'!M113</f>
        <v>0</v>
      </c>
      <c r="N124" s="23">
        <f>'Master Data'!N113</f>
        <v>0</v>
      </c>
      <c r="O124" s="23">
        <f>'Master Data'!O113</f>
        <v>0</v>
      </c>
      <c r="P124" s="23">
        <f>'Master Data'!P113</f>
        <v>0</v>
      </c>
      <c r="Q124" s="23">
        <f>'Master Data'!Q113</f>
        <v>0</v>
      </c>
      <c r="R124" s="23">
        <f>'Master Data'!R113</f>
        <v>0</v>
      </c>
      <c r="S124" s="23">
        <f>'Master Data'!S113</f>
        <v>0</v>
      </c>
      <c r="T124" s="23">
        <f>'Master Data'!T113</f>
        <v>0</v>
      </c>
      <c r="U124" s="23">
        <f>'Master Data'!U113</f>
        <v>0</v>
      </c>
      <c r="V124" s="23">
        <f>'Master Data'!V113</f>
        <v>0</v>
      </c>
      <c r="W124" s="23">
        <f>'Master Data'!W113</f>
        <v>0</v>
      </c>
      <c r="X124" s="23">
        <f>'Master Data'!X113</f>
        <v>0</v>
      </c>
      <c r="Y124" s="23">
        <f>'Master Data'!Y113</f>
        <v>0</v>
      </c>
      <c r="Z124" s="23">
        <f>'Master Data'!Z113</f>
        <v>0</v>
      </c>
      <c r="AA124" s="23">
        <f>'Master Data'!AA113</f>
        <v>0</v>
      </c>
      <c r="AB124" s="23">
        <f>'Master Data'!AB113</f>
        <v>0</v>
      </c>
      <c r="AC124" s="23">
        <f>'Master Data'!AC113</f>
        <v>0</v>
      </c>
      <c r="AD124" s="23">
        <f>'Master Data'!AD113</f>
        <v>0</v>
      </c>
      <c r="AE124" s="23">
        <f>'Master Data'!AE113</f>
        <v>0</v>
      </c>
      <c r="AF124" s="23">
        <f>'Master Data'!AF113</f>
        <v>0</v>
      </c>
      <c r="AG124" s="23">
        <f>'Master Data'!AG113</f>
        <v>0</v>
      </c>
      <c r="AH124" s="23">
        <f>'Master Data'!AH113</f>
        <v>0</v>
      </c>
      <c r="AI124" s="23">
        <f>'Master Data'!AI113</f>
        <v>0</v>
      </c>
      <c r="AJ124" s="23">
        <f>'Master Data'!AJ113</f>
        <v>0</v>
      </c>
      <c r="AK124" s="23">
        <f>'Master Data'!AK113</f>
        <v>0</v>
      </c>
      <c r="AL124" s="23">
        <f>'Master Data'!AL113</f>
        <v>0</v>
      </c>
      <c r="AM124" s="23">
        <f>'Master Data'!AM113</f>
        <v>0</v>
      </c>
      <c r="AN124" s="23">
        <f>'Master Data'!AN113</f>
        <v>0</v>
      </c>
      <c r="AO124" s="23">
        <f>'Master Data'!AO113</f>
        <v>0</v>
      </c>
      <c r="AP124" s="23">
        <f>'Master Data'!AP113</f>
        <v>0</v>
      </c>
      <c r="AQ124" s="23">
        <f>SUM(M124:AP124)</f>
        <v>0</v>
      </c>
      <c r="AR124" s="16">
        <f>(AQ124*J124*K124)/1000000</f>
        <v>0</v>
      </c>
      <c r="AS124" s="17">
        <f t="shared" si="22"/>
        <v>0</v>
      </c>
      <c r="AT124" s="16">
        <f>L124-AR124</f>
        <v>0</v>
      </c>
    </row>
    <row r="125" spans="1:46" ht="15" customHeight="1">
      <c r="A125" s="70" t="s">
        <v>59</v>
      </c>
      <c r="B125" s="70"/>
      <c r="C125" s="70"/>
      <c r="D125" s="1"/>
      <c r="E125" s="1"/>
      <c r="F125" s="1"/>
      <c r="G125" s="1"/>
      <c r="H125" s="1"/>
      <c r="I125" s="1"/>
      <c r="J125" s="1"/>
      <c r="K125" s="1"/>
      <c r="L125" s="25">
        <f t="shared" ref="L125:AR125" si="28">L5+L27+L49+L71+L93+L96+L99+L102+L122</f>
        <v>12</v>
      </c>
      <c r="M125" s="26">
        <f t="shared" si="28"/>
        <v>0</v>
      </c>
      <c r="N125" s="26">
        <f t="shared" si="28"/>
        <v>0</v>
      </c>
      <c r="O125" s="26">
        <f t="shared" si="28"/>
        <v>0</v>
      </c>
      <c r="P125" s="26">
        <f t="shared" si="28"/>
        <v>0</v>
      </c>
      <c r="Q125" s="26">
        <f t="shared" si="28"/>
        <v>0</v>
      </c>
      <c r="R125" s="26">
        <f t="shared" si="28"/>
        <v>0</v>
      </c>
      <c r="S125" s="26">
        <f t="shared" si="28"/>
        <v>0</v>
      </c>
      <c r="T125" s="26">
        <f t="shared" si="28"/>
        <v>0</v>
      </c>
      <c r="U125" s="26">
        <f t="shared" si="28"/>
        <v>0</v>
      </c>
      <c r="V125" s="26">
        <f t="shared" si="28"/>
        <v>0</v>
      </c>
      <c r="W125" s="26">
        <f t="shared" si="28"/>
        <v>0</v>
      </c>
      <c r="X125" s="26">
        <f t="shared" si="28"/>
        <v>0</v>
      </c>
      <c r="Y125" s="26">
        <f t="shared" si="28"/>
        <v>0</v>
      </c>
      <c r="Z125" s="26">
        <f t="shared" si="28"/>
        <v>0</v>
      </c>
      <c r="AA125" s="26">
        <f t="shared" si="28"/>
        <v>0</v>
      </c>
      <c r="AB125" s="26">
        <f t="shared" si="28"/>
        <v>0</v>
      </c>
      <c r="AC125" s="26">
        <f t="shared" si="28"/>
        <v>0</v>
      </c>
      <c r="AD125" s="26">
        <f t="shared" si="28"/>
        <v>0</v>
      </c>
      <c r="AE125" s="26">
        <f t="shared" si="28"/>
        <v>0</v>
      </c>
      <c r="AF125" s="26">
        <f t="shared" si="28"/>
        <v>0</v>
      </c>
      <c r="AG125" s="26">
        <f t="shared" si="28"/>
        <v>0</v>
      </c>
      <c r="AH125" s="26">
        <f t="shared" si="28"/>
        <v>0</v>
      </c>
      <c r="AI125" s="26">
        <f t="shared" si="28"/>
        <v>0</v>
      </c>
      <c r="AJ125" s="26">
        <f t="shared" si="28"/>
        <v>0</v>
      </c>
      <c r="AK125" s="26">
        <f t="shared" si="28"/>
        <v>0</v>
      </c>
      <c r="AL125" s="26">
        <f t="shared" si="28"/>
        <v>0</v>
      </c>
      <c r="AM125" s="26">
        <f t="shared" si="28"/>
        <v>0</v>
      </c>
      <c r="AN125" s="26">
        <f t="shared" si="28"/>
        <v>0</v>
      </c>
      <c r="AO125" s="26">
        <f t="shared" si="28"/>
        <v>0</v>
      </c>
      <c r="AP125" s="26">
        <f t="shared" si="28"/>
        <v>0</v>
      </c>
      <c r="AQ125" s="26">
        <f t="shared" si="28"/>
        <v>0</v>
      </c>
      <c r="AR125" s="27">
        <f t="shared" si="28"/>
        <v>0</v>
      </c>
      <c r="AS125" s="28">
        <f t="shared" si="22"/>
        <v>0</v>
      </c>
      <c r="AT125" s="27">
        <f>AT5+AT27+AT49+AT71+AT93+AT96+AT99+AT102+AT122</f>
        <v>12</v>
      </c>
    </row>
  </sheetData>
  <mergeCells count="12">
    <mergeCell ref="A122:C122"/>
    <mergeCell ref="A125:C125"/>
    <mergeCell ref="A71:C71"/>
    <mergeCell ref="A93:C93"/>
    <mergeCell ref="A96:C96"/>
    <mergeCell ref="A99:C99"/>
    <mergeCell ref="A102:C102"/>
    <mergeCell ref="A1:AT1"/>
    <mergeCell ref="A2:AT2"/>
    <mergeCell ref="A5:C5"/>
    <mergeCell ref="A27:C27"/>
    <mergeCell ref="A49:C4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000"/>
  <sheetViews>
    <sheetView tabSelected="1" topLeftCell="AH1" zoomScale="83" zoomScaleNormal="83" workbookViewId="0">
      <selection activeCell="AT13" sqref="AT13"/>
    </sheetView>
  </sheetViews>
  <sheetFormatPr defaultColWidth="14.42578125" defaultRowHeight="15"/>
  <cols>
    <col min="1" max="1" width="54.7109375" customWidth="1"/>
    <col min="2" max="2" width="10" bestFit="1" customWidth="1"/>
    <col min="3" max="3" width="14.5703125" customWidth="1"/>
    <col min="4" max="4" width="45.7109375" customWidth="1"/>
    <col min="5" max="5" width="20.85546875" customWidth="1"/>
    <col min="6" max="6" width="17.28515625" customWidth="1"/>
    <col min="7" max="7" width="19.28515625" customWidth="1"/>
    <col min="8" max="8" width="47" customWidth="1"/>
    <col min="9" max="9" width="12.5703125" customWidth="1"/>
    <col min="10" max="10" width="11.140625" customWidth="1"/>
    <col min="11" max="11" width="13.7109375" customWidth="1"/>
    <col min="12" max="12" width="13.140625" customWidth="1"/>
    <col min="13" max="13" width="11.28515625" bestFit="1" customWidth="1"/>
    <col min="14" max="18" width="11.7109375" bestFit="1" customWidth="1"/>
    <col min="19" max="19" width="11.5703125" bestFit="1" customWidth="1"/>
    <col min="20" max="21" width="11.7109375" bestFit="1" customWidth="1"/>
    <col min="22" max="22" width="12.5703125" bestFit="1" customWidth="1"/>
    <col min="23" max="23" width="12" bestFit="1" customWidth="1"/>
    <col min="24" max="28" width="12.42578125" bestFit="1" customWidth="1"/>
    <col min="29" max="29" width="12.140625" bestFit="1" customWidth="1"/>
    <col min="30" max="31" width="12.42578125" bestFit="1" customWidth="1"/>
    <col min="32" max="32" width="7.42578125" bestFit="1" customWidth="1"/>
    <col min="33" max="33" width="12.42578125" bestFit="1" customWidth="1"/>
    <col min="34" max="35" width="12.28515625" bestFit="1" customWidth="1"/>
    <col min="36" max="36" width="9.140625" customWidth="1"/>
    <col min="37" max="38" width="12.28515625" bestFit="1" customWidth="1"/>
    <col min="39" max="39" width="12.140625" bestFit="1" customWidth="1"/>
    <col min="40" max="41" width="12.28515625" bestFit="1" customWidth="1"/>
    <col min="42" max="42" width="9.140625" bestFit="1" customWidth="1"/>
    <col min="43" max="43" width="8.7109375" bestFit="1" customWidth="1"/>
    <col min="44" max="44" width="22.7109375" bestFit="1" customWidth="1"/>
    <col min="45" max="45" width="21" bestFit="1" customWidth="1"/>
    <col min="46" max="46" width="12.140625" bestFit="1" customWidth="1"/>
    <col min="47" max="47" width="19.7109375" bestFit="1" customWidth="1"/>
  </cols>
  <sheetData>
    <row r="1" spans="1:47" ht="14.25" customHeight="1">
      <c r="L1" s="29">
        <f t="shared" ref="L1:AS1" si="0">SUBTOTAL(9,L3:L1048576)</f>
        <v>0</v>
      </c>
      <c r="M1" s="30">
        <f t="shared" si="0"/>
        <v>0</v>
      </c>
      <c r="N1" s="30">
        <f t="shared" si="0"/>
        <v>0</v>
      </c>
      <c r="O1" s="30">
        <f t="shared" si="0"/>
        <v>0</v>
      </c>
      <c r="P1" s="30">
        <f t="shared" si="0"/>
        <v>0</v>
      </c>
      <c r="Q1" s="30">
        <f t="shared" si="0"/>
        <v>0</v>
      </c>
      <c r="R1" s="30">
        <f t="shared" si="0"/>
        <v>0</v>
      </c>
      <c r="S1" s="30">
        <f t="shared" si="0"/>
        <v>0</v>
      </c>
      <c r="T1" s="30">
        <f t="shared" si="0"/>
        <v>0</v>
      </c>
      <c r="U1" s="30">
        <f t="shared" si="0"/>
        <v>0</v>
      </c>
      <c r="V1" s="30">
        <f t="shared" si="0"/>
        <v>0</v>
      </c>
      <c r="W1" s="30">
        <f t="shared" si="0"/>
        <v>0</v>
      </c>
      <c r="X1" s="30">
        <f t="shared" si="0"/>
        <v>0</v>
      </c>
      <c r="Y1" s="30">
        <f t="shared" si="0"/>
        <v>0</v>
      </c>
      <c r="Z1" s="30">
        <f t="shared" si="0"/>
        <v>0</v>
      </c>
      <c r="AA1" s="30">
        <f t="shared" si="0"/>
        <v>0</v>
      </c>
      <c r="AB1" s="30">
        <f t="shared" si="0"/>
        <v>0</v>
      </c>
      <c r="AC1" s="30">
        <f t="shared" si="0"/>
        <v>0</v>
      </c>
      <c r="AD1" s="30">
        <f t="shared" si="0"/>
        <v>0</v>
      </c>
      <c r="AE1" s="30">
        <f t="shared" si="0"/>
        <v>0</v>
      </c>
      <c r="AF1" s="30">
        <f t="shared" si="0"/>
        <v>0</v>
      </c>
      <c r="AG1" s="30">
        <f t="shared" si="0"/>
        <v>0</v>
      </c>
      <c r="AH1" s="30">
        <f t="shared" si="0"/>
        <v>0</v>
      </c>
      <c r="AI1" s="30">
        <f t="shared" si="0"/>
        <v>0</v>
      </c>
      <c r="AJ1" s="30">
        <f t="shared" si="0"/>
        <v>0</v>
      </c>
      <c r="AK1" s="30">
        <f t="shared" si="0"/>
        <v>0</v>
      </c>
      <c r="AL1" s="30">
        <f t="shared" si="0"/>
        <v>0</v>
      </c>
      <c r="AM1" s="30">
        <f t="shared" si="0"/>
        <v>0</v>
      </c>
      <c r="AN1" s="30">
        <f t="shared" si="0"/>
        <v>0</v>
      </c>
      <c r="AO1" s="30">
        <f t="shared" si="0"/>
        <v>0</v>
      </c>
      <c r="AP1" s="30">
        <f t="shared" si="0"/>
        <v>0</v>
      </c>
      <c r="AQ1" s="64"/>
      <c r="AR1" s="31">
        <f>SUBTOTAL(9,AR3:AR1048576)</f>
        <v>0</v>
      </c>
      <c r="AS1" s="32">
        <f t="shared" si="0"/>
        <v>0</v>
      </c>
      <c r="AT1" s="33" t="e">
        <f>AS1/L1</f>
        <v>#DIV/0!</v>
      </c>
      <c r="AU1" s="31">
        <f>SUBTOTAL(9,AU3:AU1048576)</f>
        <v>0</v>
      </c>
    </row>
    <row r="2" spans="1:47" ht="38.25" customHeight="1">
      <c r="A2" s="34" t="s">
        <v>38</v>
      </c>
      <c r="B2" s="34" t="s">
        <v>38</v>
      </c>
      <c r="C2" s="34" t="s">
        <v>39</v>
      </c>
      <c r="D2" s="34" t="s">
        <v>2</v>
      </c>
      <c r="E2" s="34" t="s">
        <v>35</v>
      </c>
      <c r="F2" s="34" t="s">
        <v>40</v>
      </c>
      <c r="G2" s="34" t="s">
        <v>41</v>
      </c>
      <c r="H2" s="34" t="s">
        <v>34</v>
      </c>
      <c r="I2" s="35" t="s">
        <v>42</v>
      </c>
      <c r="J2" s="35" t="s">
        <v>43</v>
      </c>
      <c r="K2" s="35" t="s">
        <v>44</v>
      </c>
      <c r="L2" s="36" t="s">
        <v>45</v>
      </c>
      <c r="M2" s="55">
        <v>46296</v>
      </c>
      <c r="N2" s="55">
        <v>46297</v>
      </c>
      <c r="O2" s="55">
        <v>46298</v>
      </c>
      <c r="P2" s="55">
        <v>46299</v>
      </c>
      <c r="Q2" s="55">
        <v>46300</v>
      </c>
      <c r="R2" s="55">
        <v>46301</v>
      </c>
      <c r="S2" s="55">
        <v>46302</v>
      </c>
      <c r="T2" s="55">
        <v>46303</v>
      </c>
      <c r="U2" s="55">
        <v>46304</v>
      </c>
      <c r="V2" s="55">
        <v>46305</v>
      </c>
      <c r="W2" s="55">
        <v>46306</v>
      </c>
      <c r="X2" s="55">
        <v>46307</v>
      </c>
      <c r="Y2" s="55">
        <v>46308</v>
      </c>
      <c r="Z2" s="55">
        <v>46309</v>
      </c>
      <c r="AA2" s="55">
        <v>46310</v>
      </c>
      <c r="AB2" s="55">
        <v>46311</v>
      </c>
      <c r="AC2" s="55">
        <v>46312</v>
      </c>
      <c r="AD2" s="55">
        <v>46313</v>
      </c>
      <c r="AE2" s="55">
        <v>46314</v>
      </c>
      <c r="AF2" s="55">
        <v>46315</v>
      </c>
      <c r="AG2" s="55">
        <v>46316</v>
      </c>
      <c r="AH2" s="55">
        <v>46317</v>
      </c>
      <c r="AI2" s="55">
        <v>46318</v>
      </c>
      <c r="AJ2" s="55">
        <v>46319</v>
      </c>
      <c r="AK2" s="55">
        <v>46320</v>
      </c>
      <c r="AL2" s="55">
        <v>46321</v>
      </c>
      <c r="AM2" s="55">
        <v>46322</v>
      </c>
      <c r="AN2" s="55">
        <v>46323</v>
      </c>
      <c r="AO2" s="55">
        <v>46324</v>
      </c>
      <c r="AP2" s="55">
        <v>46325</v>
      </c>
      <c r="AQ2" s="55">
        <v>46326</v>
      </c>
      <c r="AR2" s="38" t="s">
        <v>46</v>
      </c>
      <c r="AS2" s="34" t="s">
        <v>47</v>
      </c>
      <c r="AT2" s="37" t="s">
        <v>48</v>
      </c>
      <c r="AU2" s="37" t="s">
        <v>49</v>
      </c>
    </row>
    <row r="3" spans="1:47" ht="14.25" customHeight="1">
      <c r="A3" s="39" t="str">
        <f t="shared" ref="A3:A34" si="1">D3&amp;G3</f>
        <v>VEETADAY INDUSTRIES PRIVATE LIMITEDROZ39494</v>
      </c>
      <c r="B3" s="39" t="s">
        <v>60</v>
      </c>
      <c r="C3" s="39" t="str">
        <f t="shared" ref="C3:C34" si="2">B3&amp;G3</f>
        <v>VDROZ39494</v>
      </c>
      <c r="D3" s="39" t="s">
        <v>10</v>
      </c>
      <c r="E3" s="40" t="s">
        <v>9</v>
      </c>
      <c r="F3" s="41" t="s">
        <v>30</v>
      </c>
      <c r="G3" s="41" t="s">
        <v>61</v>
      </c>
      <c r="H3" s="42" t="s">
        <v>62</v>
      </c>
      <c r="I3" s="43">
        <v>5</v>
      </c>
      <c r="J3" s="44">
        <v>35</v>
      </c>
      <c r="K3" s="44">
        <v>144</v>
      </c>
      <c r="L3" s="59"/>
      <c r="M3" s="56"/>
      <c r="N3" s="56"/>
      <c r="O3" s="57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65"/>
      <c r="AR3" s="54">
        <f t="shared" ref="AR3:AR34" si="3">SUM(M3:AP3)</f>
        <v>0</v>
      </c>
      <c r="AS3" s="45">
        <f t="shared" ref="AS3:AS34" si="4">(AR3*J3*K3)/1000000</f>
        <v>0</v>
      </c>
      <c r="AT3" s="46" t="e">
        <f t="shared" ref="AT3:AT34" si="5">AS3/L3</f>
        <v>#DIV/0!</v>
      </c>
      <c r="AU3" s="45">
        <f t="shared" ref="AU3:AU34" si="6">L3-AS3</f>
        <v>0</v>
      </c>
    </row>
    <row r="4" spans="1:47" ht="14.25" customHeight="1">
      <c r="A4" s="39" t="str">
        <f t="shared" si="1"/>
        <v>VEETADAY INDUSTRIES PRIVATE LIMITEDROZ23739</v>
      </c>
      <c r="B4" s="39" t="s">
        <v>60</v>
      </c>
      <c r="C4" s="39" t="str">
        <f t="shared" si="2"/>
        <v>VDROZ23739</v>
      </c>
      <c r="D4" s="39" t="s">
        <v>10</v>
      </c>
      <c r="E4" s="40" t="s">
        <v>9</v>
      </c>
      <c r="F4" s="41" t="s">
        <v>30</v>
      </c>
      <c r="G4" s="41" t="s">
        <v>63</v>
      </c>
      <c r="H4" s="42" t="s">
        <v>64</v>
      </c>
      <c r="I4" s="43">
        <v>5</v>
      </c>
      <c r="J4" s="44">
        <v>35</v>
      </c>
      <c r="K4" s="44">
        <v>144</v>
      </c>
      <c r="L4" s="59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65"/>
      <c r="AR4" s="54">
        <f t="shared" si="3"/>
        <v>0</v>
      </c>
      <c r="AS4" s="45">
        <f t="shared" si="4"/>
        <v>0</v>
      </c>
      <c r="AT4" s="46" t="e">
        <f t="shared" si="5"/>
        <v>#DIV/0!</v>
      </c>
      <c r="AU4" s="45">
        <f t="shared" si="6"/>
        <v>0</v>
      </c>
    </row>
    <row r="5" spans="1:47" ht="14.25" customHeight="1">
      <c r="A5" s="39" t="str">
        <f t="shared" si="1"/>
        <v>VEETADAY INDUSTRIES PRIVATE LIMITEDROZ23738</v>
      </c>
      <c r="B5" s="39" t="s">
        <v>60</v>
      </c>
      <c r="C5" s="39" t="str">
        <f t="shared" si="2"/>
        <v>VDROZ23738</v>
      </c>
      <c r="D5" s="39" t="s">
        <v>10</v>
      </c>
      <c r="E5" s="40" t="s">
        <v>9</v>
      </c>
      <c r="F5" s="41" t="s">
        <v>30</v>
      </c>
      <c r="G5" s="41" t="s">
        <v>65</v>
      </c>
      <c r="H5" s="42" t="s">
        <v>66</v>
      </c>
      <c r="I5" s="43">
        <v>5</v>
      </c>
      <c r="J5" s="44">
        <v>35</v>
      </c>
      <c r="K5" s="44">
        <v>144</v>
      </c>
      <c r="L5" s="59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65"/>
      <c r="AR5" s="54">
        <f t="shared" si="3"/>
        <v>0</v>
      </c>
      <c r="AS5" s="45">
        <f t="shared" si="4"/>
        <v>0</v>
      </c>
      <c r="AT5" s="46" t="e">
        <f t="shared" si="5"/>
        <v>#DIV/0!</v>
      </c>
      <c r="AU5" s="45">
        <f t="shared" si="6"/>
        <v>0</v>
      </c>
    </row>
    <row r="6" spans="1:47" ht="14.25" customHeight="1">
      <c r="A6" s="39" t="str">
        <f t="shared" si="1"/>
        <v>VEETADAY INDUSTRIES PRIVATE LIMITEDROZ23743</v>
      </c>
      <c r="B6" s="39" t="s">
        <v>60</v>
      </c>
      <c r="C6" s="39" t="str">
        <f t="shared" si="2"/>
        <v>VDROZ23743</v>
      </c>
      <c r="D6" s="39" t="s">
        <v>10</v>
      </c>
      <c r="E6" s="40" t="s">
        <v>9</v>
      </c>
      <c r="F6" s="41" t="s">
        <v>30</v>
      </c>
      <c r="G6" s="41" t="s">
        <v>67</v>
      </c>
      <c r="H6" s="42" t="s">
        <v>68</v>
      </c>
      <c r="I6" s="43">
        <v>5</v>
      </c>
      <c r="J6" s="44">
        <v>32</v>
      </c>
      <c r="K6" s="44">
        <v>144</v>
      </c>
      <c r="L6" s="59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7"/>
      <c r="AD6" s="56"/>
      <c r="AE6" s="56"/>
      <c r="AF6" s="56"/>
      <c r="AG6" s="57"/>
      <c r="AH6" s="56"/>
      <c r="AI6" s="56"/>
      <c r="AJ6" s="56"/>
      <c r="AK6" s="56"/>
      <c r="AL6" s="56"/>
      <c r="AM6" s="56"/>
      <c r="AN6" s="56"/>
      <c r="AO6" s="56"/>
      <c r="AP6" s="56"/>
      <c r="AQ6" s="65"/>
      <c r="AR6" s="54">
        <f t="shared" si="3"/>
        <v>0</v>
      </c>
      <c r="AS6" s="45">
        <f t="shared" si="4"/>
        <v>0</v>
      </c>
      <c r="AT6" s="46" t="e">
        <f t="shared" si="5"/>
        <v>#DIV/0!</v>
      </c>
      <c r="AU6" s="45">
        <f t="shared" si="6"/>
        <v>0</v>
      </c>
    </row>
    <row r="7" spans="1:47" ht="14.25" customHeight="1">
      <c r="A7" s="39" t="str">
        <f t="shared" si="1"/>
        <v>VEETADAY INDUSTRIES PRIVATE LIMITEDROZ23740</v>
      </c>
      <c r="B7" s="39" t="s">
        <v>60</v>
      </c>
      <c r="C7" s="39" t="str">
        <f t="shared" si="2"/>
        <v>VDROZ23740</v>
      </c>
      <c r="D7" s="39" t="s">
        <v>10</v>
      </c>
      <c r="E7" s="40" t="s">
        <v>9</v>
      </c>
      <c r="F7" s="41" t="s">
        <v>30</v>
      </c>
      <c r="G7" s="41" t="s">
        <v>69</v>
      </c>
      <c r="H7" s="42" t="s">
        <v>70</v>
      </c>
      <c r="I7" s="43">
        <v>5</v>
      </c>
      <c r="J7" s="44">
        <v>35</v>
      </c>
      <c r="K7" s="44">
        <v>144</v>
      </c>
      <c r="L7" s="60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65"/>
      <c r="AR7" s="54">
        <f t="shared" si="3"/>
        <v>0</v>
      </c>
      <c r="AS7" s="45">
        <f t="shared" si="4"/>
        <v>0</v>
      </c>
      <c r="AT7" s="46" t="e">
        <f t="shared" si="5"/>
        <v>#DIV/0!</v>
      </c>
      <c r="AU7" s="45">
        <f t="shared" si="6"/>
        <v>0</v>
      </c>
    </row>
    <row r="8" spans="1:47" ht="14.25" customHeight="1">
      <c r="A8" s="39" t="str">
        <f t="shared" si="1"/>
        <v>VEETADAY INDUSTRIES PRIVATE LIMITEDROZ23741</v>
      </c>
      <c r="B8" s="39" t="s">
        <v>60</v>
      </c>
      <c r="C8" s="39" t="str">
        <f t="shared" si="2"/>
        <v>VDROZ23741</v>
      </c>
      <c r="D8" s="39" t="s">
        <v>10</v>
      </c>
      <c r="E8" s="40" t="s">
        <v>9</v>
      </c>
      <c r="F8" s="41" t="s">
        <v>30</v>
      </c>
      <c r="G8" s="41" t="s">
        <v>71</v>
      </c>
      <c r="H8" s="42" t="s">
        <v>72</v>
      </c>
      <c r="I8" s="43">
        <v>5</v>
      </c>
      <c r="J8" s="44">
        <v>35</v>
      </c>
      <c r="K8" s="44">
        <v>144</v>
      </c>
      <c r="L8" s="59"/>
      <c r="M8" s="56"/>
      <c r="N8" s="57"/>
      <c r="O8" s="56"/>
      <c r="P8" s="57"/>
      <c r="Q8" s="56"/>
      <c r="R8" s="56"/>
      <c r="S8" s="56"/>
      <c r="T8" s="56"/>
      <c r="U8" s="57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7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65"/>
      <c r="AR8" s="54">
        <f t="shared" si="3"/>
        <v>0</v>
      </c>
      <c r="AS8" s="45">
        <f t="shared" si="4"/>
        <v>0</v>
      </c>
      <c r="AT8" s="46" t="e">
        <f t="shared" si="5"/>
        <v>#DIV/0!</v>
      </c>
      <c r="AU8" s="45">
        <f t="shared" si="6"/>
        <v>0</v>
      </c>
    </row>
    <row r="9" spans="1:47" ht="14.25" customHeight="1">
      <c r="A9" s="39" t="str">
        <f t="shared" si="1"/>
        <v>VEETADAY INDUSTRIES PRIVATE LIMITEDROZ23742</v>
      </c>
      <c r="B9" s="39" t="s">
        <v>60</v>
      </c>
      <c r="C9" s="39" t="str">
        <f t="shared" si="2"/>
        <v>VDROZ23742</v>
      </c>
      <c r="D9" s="39" t="s">
        <v>10</v>
      </c>
      <c r="E9" s="40" t="s">
        <v>9</v>
      </c>
      <c r="F9" s="41" t="s">
        <v>30</v>
      </c>
      <c r="G9" s="41" t="s">
        <v>73</v>
      </c>
      <c r="H9" s="42" t="s">
        <v>74</v>
      </c>
      <c r="I9" s="43">
        <v>5</v>
      </c>
      <c r="J9" s="44">
        <v>32</v>
      </c>
      <c r="K9" s="44">
        <v>144</v>
      </c>
      <c r="L9" s="59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7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65"/>
      <c r="AR9" s="54">
        <f t="shared" si="3"/>
        <v>0</v>
      </c>
      <c r="AS9" s="45">
        <f t="shared" si="4"/>
        <v>0</v>
      </c>
      <c r="AT9" s="46" t="e">
        <f t="shared" si="5"/>
        <v>#DIV/0!</v>
      </c>
      <c r="AU9" s="45">
        <f t="shared" si="6"/>
        <v>0</v>
      </c>
    </row>
    <row r="10" spans="1:47" ht="14.25" customHeight="1">
      <c r="A10" s="39" t="str">
        <f t="shared" si="1"/>
        <v>VEETADAY INDUSTRIES PRIVATE LIMITEDROZ36954</v>
      </c>
      <c r="B10" s="39" t="s">
        <v>60</v>
      </c>
      <c r="C10" s="39" t="str">
        <f t="shared" si="2"/>
        <v>VDROZ36954</v>
      </c>
      <c r="D10" s="39" t="s">
        <v>10</v>
      </c>
      <c r="E10" s="40" t="s">
        <v>9</v>
      </c>
      <c r="F10" s="41" t="s">
        <v>30</v>
      </c>
      <c r="G10" s="41" t="s">
        <v>75</v>
      </c>
      <c r="H10" s="42" t="s">
        <v>76</v>
      </c>
      <c r="I10" s="43">
        <v>5</v>
      </c>
      <c r="J10" s="44">
        <v>30</v>
      </c>
      <c r="K10" s="44">
        <v>144</v>
      </c>
      <c r="L10" s="59"/>
      <c r="M10" s="56"/>
      <c r="N10" s="56"/>
      <c r="O10" s="56"/>
      <c r="P10" s="56"/>
      <c r="Q10" s="57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65"/>
      <c r="AR10" s="54">
        <f t="shared" si="3"/>
        <v>0</v>
      </c>
      <c r="AS10" s="45">
        <f t="shared" si="4"/>
        <v>0</v>
      </c>
      <c r="AT10" s="46" t="e">
        <f t="shared" si="5"/>
        <v>#DIV/0!</v>
      </c>
      <c r="AU10" s="45">
        <f t="shared" si="6"/>
        <v>0</v>
      </c>
    </row>
    <row r="11" spans="1:47" ht="14.25" customHeight="1">
      <c r="A11" s="39" t="str">
        <f t="shared" si="1"/>
        <v>VEETADAY INDUSTRIES PRIVATE LIMITEDROZ36955</v>
      </c>
      <c r="B11" s="39" t="s">
        <v>60</v>
      </c>
      <c r="C11" s="39" t="str">
        <f t="shared" si="2"/>
        <v>VDROZ36955</v>
      </c>
      <c r="D11" s="39" t="s">
        <v>10</v>
      </c>
      <c r="E11" s="40" t="s">
        <v>9</v>
      </c>
      <c r="F11" s="41" t="s">
        <v>30</v>
      </c>
      <c r="G11" s="41" t="s">
        <v>77</v>
      </c>
      <c r="H11" s="42" t="s">
        <v>78</v>
      </c>
      <c r="I11" s="43">
        <v>10</v>
      </c>
      <c r="J11" s="44">
        <v>70</v>
      </c>
      <c r="K11" s="44">
        <v>60</v>
      </c>
      <c r="L11" s="59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65"/>
      <c r="AR11" s="54">
        <f t="shared" si="3"/>
        <v>0</v>
      </c>
      <c r="AS11" s="45">
        <f t="shared" si="4"/>
        <v>0</v>
      </c>
      <c r="AT11" s="46" t="e">
        <f t="shared" si="5"/>
        <v>#DIV/0!</v>
      </c>
      <c r="AU11" s="45">
        <f t="shared" si="6"/>
        <v>0</v>
      </c>
    </row>
    <row r="12" spans="1:47" ht="14.25" customHeight="1">
      <c r="A12" s="39" t="str">
        <f t="shared" si="1"/>
        <v>VEETADAY INDUSTRIES PRIVATE LIMITEDROZ36956</v>
      </c>
      <c r="B12" s="39" t="s">
        <v>60</v>
      </c>
      <c r="C12" s="39" t="str">
        <f t="shared" si="2"/>
        <v>VDROZ36956</v>
      </c>
      <c r="D12" s="39" t="s">
        <v>10</v>
      </c>
      <c r="E12" s="40" t="s">
        <v>9</v>
      </c>
      <c r="F12" s="41" t="s">
        <v>30</v>
      </c>
      <c r="G12" s="41" t="s">
        <v>79</v>
      </c>
      <c r="H12" s="42" t="s">
        <v>80</v>
      </c>
      <c r="I12" s="43">
        <v>10</v>
      </c>
      <c r="J12" s="44">
        <v>70</v>
      </c>
      <c r="K12" s="44">
        <v>60</v>
      </c>
      <c r="L12" s="59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65"/>
      <c r="AR12" s="54">
        <f t="shared" si="3"/>
        <v>0</v>
      </c>
      <c r="AS12" s="45">
        <f t="shared" si="4"/>
        <v>0</v>
      </c>
      <c r="AT12" s="46" t="e">
        <f t="shared" si="5"/>
        <v>#DIV/0!</v>
      </c>
      <c r="AU12" s="45">
        <f t="shared" si="6"/>
        <v>0</v>
      </c>
    </row>
    <row r="13" spans="1:47" ht="14.25" customHeight="1">
      <c r="A13" s="39" t="str">
        <f t="shared" si="1"/>
        <v>VEETADAY INDUSTRIES PRIVATE LIMITEDROZ36957</v>
      </c>
      <c r="B13" s="39" t="s">
        <v>60</v>
      </c>
      <c r="C13" s="39" t="str">
        <f t="shared" si="2"/>
        <v>VDROZ36957</v>
      </c>
      <c r="D13" s="39" t="s">
        <v>10</v>
      </c>
      <c r="E13" s="40" t="s">
        <v>9</v>
      </c>
      <c r="F13" s="41" t="s">
        <v>30</v>
      </c>
      <c r="G13" s="41" t="s">
        <v>81</v>
      </c>
      <c r="H13" s="42" t="s">
        <v>82</v>
      </c>
      <c r="I13" s="43">
        <v>10</v>
      </c>
      <c r="J13" s="44">
        <v>70</v>
      </c>
      <c r="K13" s="44">
        <v>60</v>
      </c>
      <c r="L13" s="59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65"/>
      <c r="AR13" s="54">
        <f t="shared" si="3"/>
        <v>0</v>
      </c>
      <c r="AS13" s="45">
        <f t="shared" si="4"/>
        <v>0</v>
      </c>
      <c r="AT13" s="46" t="e">
        <f t="shared" si="5"/>
        <v>#DIV/0!</v>
      </c>
      <c r="AU13" s="45">
        <f t="shared" si="6"/>
        <v>0</v>
      </c>
    </row>
    <row r="14" spans="1:47" ht="14.25" customHeight="1">
      <c r="A14" s="39" t="str">
        <f t="shared" si="1"/>
        <v>VEETADAY INDUSTRIES PRIVATE LIMITEDROZ39495</v>
      </c>
      <c r="B14" s="39" t="s">
        <v>60</v>
      </c>
      <c r="C14" s="39" t="str">
        <f t="shared" si="2"/>
        <v>VDROZ39495</v>
      </c>
      <c r="D14" s="39" t="s">
        <v>10</v>
      </c>
      <c r="E14" s="40" t="s">
        <v>9</v>
      </c>
      <c r="F14" s="41" t="s">
        <v>30</v>
      </c>
      <c r="G14" s="41" t="s">
        <v>83</v>
      </c>
      <c r="H14" s="42" t="s">
        <v>84</v>
      </c>
      <c r="I14" s="43">
        <v>10</v>
      </c>
      <c r="J14" s="44">
        <v>70</v>
      </c>
      <c r="K14" s="44">
        <v>72</v>
      </c>
      <c r="L14" s="59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65"/>
      <c r="AR14" s="54">
        <f t="shared" si="3"/>
        <v>0</v>
      </c>
      <c r="AS14" s="45">
        <f t="shared" si="4"/>
        <v>0</v>
      </c>
      <c r="AT14" s="46" t="e">
        <f t="shared" si="5"/>
        <v>#DIV/0!</v>
      </c>
      <c r="AU14" s="45">
        <f t="shared" si="6"/>
        <v>0</v>
      </c>
    </row>
    <row r="15" spans="1:47" ht="14.25" customHeight="1">
      <c r="A15" s="39" t="str">
        <f t="shared" si="1"/>
        <v>VEETADAY INDUSTRIES PRIVATE LIMITEDROZ36959</v>
      </c>
      <c r="B15" s="39" t="s">
        <v>60</v>
      </c>
      <c r="C15" s="39" t="str">
        <f t="shared" si="2"/>
        <v>VDROZ36959</v>
      </c>
      <c r="D15" s="39" t="s">
        <v>10</v>
      </c>
      <c r="E15" s="40" t="s">
        <v>9</v>
      </c>
      <c r="F15" s="41" t="s">
        <v>30</v>
      </c>
      <c r="G15" s="41" t="s">
        <v>85</v>
      </c>
      <c r="H15" s="42" t="s">
        <v>86</v>
      </c>
      <c r="I15" s="43">
        <v>10</v>
      </c>
      <c r="J15" s="44">
        <v>65</v>
      </c>
      <c r="K15" s="44">
        <v>60</v>
      </c>
      <c r="L15" s="59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65"/>
      <c r="AR15" s="54">
        <f t="shared" si="3"/>
        <v>0</v>
      </c>
      <c r="AS15" s="45">
        <f t="shared" si="4"/>
        <v>0</v>
      </c>
      <c r="AT15" s="46" t="e">
        <f t="shared" si="5"/>
        <v>#DIV/0!</v>
      </c>
      <c r="AU15" s="45">
        <f t="shared" si="6"/>
        <v>0</v>
      </c>
    </row>
    <row r="16" spans="1:47" ht="14.25" customHeight="1">
      <c r="A16" s="39" t="str">
        <f t="shared" si="1"/>
        <v>VEETADAY INDUSTRIES PRIVATE LIMITEDROZ36958</v>
      </c>
      <c r="B16" s="39" t="s">
        <v>60</v>
      </c>
      <c r="C16" s="39" t="str">
        <f t="shared" si="2"/>
        <v>VDROZ36958</v>
      </c>
      <c r="D16" s="39" t="s">
        <v>10</v>
      </c>
      <c r="E16" s="40" t="s">
        <v>9</v>
      </c>
      <c r="F16" s="41" t="s">
        <v>30</v>
      </c>
      <c r="G16" s="41" t="s">
        <v>87</v>
      </c>
      <c r="H16" s="42" t="s">
        <v>88</v>
      </c>
      <c r="I16" s="43">
        <v>10</v>
      </c>
      <c r="J16" s="44">
        <v>65</v>
      </c>
      <c r="K16" s="44">
        <v>60</v>
      </c>
      <c r="L16" s="59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65"/>
      <c r="AR16" s="54">
        <f t="shared" si="3"/>
        <v>0</v>
      </c>
      <c r="AS16" s="45">
        <f t="shared" si="4"/>
        <v>0</v>
      </c>
      <c r="AT16" s="46" t="e">
        <f t="shared" si="5"/>
        <v>#DIV/0!</v>
      </c>
      <c r="AU16" s="45">
        <f t="shared" si="6"/>
        <v>0</v>
      </c>
    </row>
    <row r="17" spans="1:47" ht="14.25" customHeight="1">
      <c r="A17" s="39" t="str">
        <f t="shared" si="1"/>
        <v>VEETADAY INDUSTRIES PRIVATE LIMITEDROZ36962</v>
      </c>
      <c r="B17" s="39" t="s">
        <v>60</v>
      </c>
      <c r="C17" s="39" t="str">
        <f t="shared" si="2"/>
        <v>VDROZ36962</v>
      </c>
      <c r="D17" s="39" t="s">
        <v>10</v>
      </c>
      <c r="E17" s="40" t="s">
        <v>9</v>
      </c>
      <c r="F17" s="41" t="s">
        <v>30</v>
      </c>
      <c r="G17" s="41" t="s">
        <v>89</v>
      </c>
      <c r="H17" s="40" t="s">
        <v>90</v>
      </c>
      <c r="I17" s="43">
        <v>10</v>
      </c>
      <c r="J17" s="44">
        <v>75</v>
      </c>
      <c r="K17" s="44">
        <v>72</v>
      </c>
      <c r="L17" s="60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65"/>
      <c r="AR17" s="54">
        <f t="shared" si="3"/>
        <v>0</v>
      </c>
      <c r="AS17" s="45">
        <f t="shared" si="4"/>
        <v>0</v>
      </c>
      <c r="AT17" s="46" t="e">
        <f t="shared" si="5"/>
        <v>#DIV/0!</v>
      </c>
      <c r="AU17" s="45">
        <f t="shared" si="6"/>
        <v>0</v>
      </c>
    </row>
    <row r="18" spans="1:47" ht="14.25" customHeight="1">
      <c r="A18" s="39" t="str">
        <f t="shared" si="1"/>
        <v>VEETADAY INDUSTRIES PRIVATE LIMITEDROZ36961</v>
      </c>
      <c r="B18" s="39" t="s">
        <v>60</v>
      </c>
      <c r="C18" s="39" t="str">
        <f t="shared" si="2"/>
        <v>VDROZ36961</v>
      </c>
      <c r="D18" s="39" t="s">
        <v>10</v>
      </c>
      <c r="E18" s="40" t="s">
        <v>9</v>
      </c>
      <c r="F18" s="41" t="s">
        <v>30</v>
      </c>
      <c r="G18" s="41" t="s">
        <v>91</v>
      </c>
      <c r="H18" s="42" t="s">
        <v>92</v>
      </c>
      <c r="I18" s="43">
        <v>10</v>
      </c>
      <c r="J18" s="44">
        <v>65</v>
      </c>
      <c r="K18" s="44">
        <v>72</v>
      </c>
      <c r="L18" s="59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7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65"/>
      <c r="AR18" s="54">
        <f t="shared" si="3"/>
        <v>0</v>
      </c>
      <c r="AS18" s="45">
        <f t="shared" si="4"/>
        <v>0</v>
      </c>
      <c r="AT18" s="46" t="e">
        <f t="shared" si="5"/>
        <v>#DIV/0!</v>
      </c>
      <c r="AU18" s="45">
        <f t="shared" si="6"/>
        <v>0</v>
      </c>
    </row>
    <row r="19" spans="1:47" ht="14.25" customHeight="1">
      <c r="A19" s="39" t="str">
        <f t="shared" si="1"/>
        <v>VEETADAY INDUSTRIES PRIVATE LIMITEDROZ36960</v>
      </c>
      <c r="B19" s="39" t="s">
        <v>60</v>
      </c>
      <c r="C19" s="39" t="str">
        <f t="shared" si="2"/>
        <v>VDROZ36960</v>
      </c>
      <c r="D19" s="39" t="s">
        <v>10</v>
      </c>
      <c r="E19" s="40" t="s">
        <v>9</v>
      </c>
      <c r="F19" s="41" t="s">
        <v>30</v>
      </c>
      <c r="G19" s="41" t="s">
        <v>93</v>
      </c>
      <c r="H19" s="42" t="s">
        <v>94</v>
      </c>
      <c r="I19" s="43">
        <v>10</v>
      </c>
      <c r="J19" s="44">
        <v>60</v>
      </c>
      <c r="K19" s="44">
        <v>60</v>
      </c>
      <c r="L19" s="59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65"/>
      <c r="AR19" s="54">
        <f t="shared" si="3"/>
        <v>0</v>
      </c>
      <c r="AS19" s="45">
        <f t="shared" si="4"/>
        <v>0</v>
      </c>
      <c r="AT19" s="46" t="e">
        <f t="shared" si="5"/>
        <v>#DIV/0!</v>
      </c>
      <c r="AU19" s="45">
        <f t="shared" si="6"/>
        <v>0</v>
      </c>
    </row>
    <row r="20" spans="1:47" ht="14.25" customHeight="1">
      <c r="A20" s="39" t="str">
        <f t="shared" si="1"/>
        <v>VEETADAY INDUSTRIES PRIVATE LIMITEDROZ23760</v>
      </c>
      <c r="B20" s="39" t="s">
        <v>60</v>
      </c>
      <c r="C20" s="39" t="str">
        <f t="shared" si="2"/>
        <v>VDROZ23760</v>
      </c>
      <c r="D20" s="39" t="s">
        <v>10</v>
      </c>
      <c r="E20" s="40" t="s">
        <v>9</v>
      </c>
      <c r="F20" s="41" t="s">
        <v>31</v>
      </c>
      <c r="G20" s="39" t="s">
        <v>95</v>
      </c>
      <c r="H20" s="47" t="s">
        <v>96</v>
      </c>
      <c r="I20" s="43">
        <v>20</v>
      </c>
      <c r="J20" s="44">
        <v>130</v>
      </c>
      <c r="K20" s="44">
        <v>24</v>
      </c>
      <c r="L20" s="60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65"/>
      <c r="AR20" s="54">
        <f t="shared" si="3"/>
        <v>0</v>
      </c>
      <c r="AS20" s="45">
        <f t="shared" si="4"/>
        <v>0</v>
      </c>
      <c r="AT20" s="46" t="e">
        <f t="shared" si="5"/>
        <v>#DIV/0!</v>
      </c>
      <c r="AU20" s="45">
        <f t="shared" si="6"/>
        <v>0</v>
      </c>
    </row>
    <row r="21" spans="1:47" ht="14.25" customHeight="1">
      <c r="A21" s="39" t="str">
        <f t="shared" si="1"/>
        <v>VEETADAY INDUSTRIES PRIVATE LIMITEDROZ23759</v>
      </c>
      <c r="B21" s="39" t="s">
        <v>60</v>
      </c>
      <c r="C21" s="39" t="str">
        <f t="shared" si="2"/>
        <v>VDROZ23759</v>
      </c>
      <c r="D21" s="39" t="s">
        <v>10</v>
      </c>
      <c r="E21" s="40" t="s">
        <v>9</v>
      </c>
      <c r="F21" s="41" t="s">
        <v>31</v>
      </c>
      <c r="G21" s="39" t="s">
        <v>97</v>
      </c>
      <c r="H21" s="47" t="s">
        <v>98</v>
      </c>
      <c r="I21" s="43">
        <v>10</v>
      </c>
      <c r="J21" s="44">
        <v>65</v>
      </c>
      <c r="K21" s="44">
        <v>24</v>
      </c>
      <c r="L21" s="60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65"/>
      <c r="AR21" s="54">
        <f t="shared" si="3"/>
        <v>0</v>
      </c>
      <c r="AS21" s="45">
        <f t="shared" si="4"/>
        <v>0</v>
      </c>
      <c r="AT21" s="46" t="e">
        <f t="shared" si="5"/>
        <v>#DIV/0!</v>
      </c>
      <c r="AU21" s="45">
        <f t="shared" si="6"/>
        <v>0</v>
      </c>
    </row>
    <row r="22" spans="1:47" ht="14.25" customHeight="1">
      <c r="A22" s="39" t="str">
        <f t="shared" si="1"/>
        <v>VEETADAY INDUSTRIES PRIVATE LIMITEDROZ50020</v>
      </c>
      <c r="B22" s="39" t="s">
        <v>60</v>
      </c>
      <c r="C22" s="39" t="str">
        <f t="shared" si="2"/>
        <v>VDROZ50020</v>
      </c>
      <c r="D22" s="39" t="s">
        <v>10</v>
      </c>
      <c r="E22" s="40" t="s">
        <v>9</v>
      </c>
      <c r="F22" s="41" t="s">
        <v>30</v>
      </c>
      <c r="G22" s="39" t="s">
        <v>99</v>
      </c>
      <c r="H22" s="39" t="s">
        <v>100</v>
      </c>
      <c r="I22" s="43">
        <v>5</v>
      </c>
      <c r="J22" s="44">
        <v>35</v>
      </c>
      <c r="K22" s="44">
        <v>144</v>
      </c>
      <c r="L22" s="60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65"/>
      <c r="AR22" s="54">
        <f t="shared" si="3"/>
        <v>0</v>
      </c>
      <c r="AS22" s="45">
        <f t="shared" si="4"/>
        <v>0</v>
      </c>
      <c r="AT22" s="46" t="e">
        <f t="shared" si="5"/>
        <v>#DIV/0!</v>
      </c>
      <c r="AU22" s="45">
        <f t="shared" si="6"/>
        <v>0</v>
      </c>
    </row>
    <row r="23" spans="1:47" ht="14.25" customHeight="1">
      <c r="A23" s="39" t="str">
        <f t="shared" si="1"/>
        <v>VEETADAY INDUSTRIES PRIVATE LIMITED1</v>
      </c>
      <c r="B23" s="39" t="s">
        <v>60</v>
      </c>
      <c r="C23" s="39" t="str">
        <f t="shared" si="2"/>
        <v>VD1</v>
      </c>
      <c r="D23" s="39" t="s">
        <v>10</v>
      </c>
      <c r="E23" s="40" t="s">
        <v>9</v>
      </c>
      <c r="F23" s="41" t="s">
        <v>30</v>
      </c>
      <c r="G23" s="39">
        <v>1</v>
      </c>
      <c r="H23" s="47" t="s">
        <v>101</v>
      </c>
      <c r="I23" s="39">
        <v>30</v>
      </c>
      <c r="J23" s="39">
        <v>140</v>
      </c>
      <c r="K23" s="39">
        <v>40</v>
      </c>
      <c r="L23" s="60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65"/>
      <c r="AR23" s="54">
        <f t="shared" si="3"/>
        <v>0</v>
      </c>
      <c r="AS23" s="45">
        <f t="shared" si="4"/>
        <v>0</v>
      </c>
      <c r="AT23" s="46" t="e">
        <f t="shared" si="5"/>
        <v>#DIV/0!</v>
      </c>
      <c r="AU23" s="45">
        <f t="shared" si="6"/>
        <v>0</v>
      </c>
    </row>
    <row r="24" spans="1:47" ht="14.25" customHeight="1">
      <c r="A24" s="39" t="str">
        <f t="shared" si="1"/>
        <v>SWGROZ39494</v>
      </c>
      <c r="B24" s="39" t="s">
        <v>12</v>
      </c>
      <c r="C24" s="39" t="str">
        <f t="shared" si="2"/>
        <v>SWGROZ39494</v>
      </c>
      <c r="D24" s="39" t="s">
        <v>12</v>
      </c>
      <c r="E24" s="39" t="s">
        <v>11</v>
      </c>
      <c r="F24" s="41" t="s">
        <v>30</v>
      </c>
      <c r="G24" s="41" t="s">
        <v>61</v>
      </c>
      <c r="H24" s="42" t="s">
        <v>62</v>
      </c>
      <c r="I24" s="43">
        <v>5</v>
      </c>
      <c r="J24" s="44">
        <v>35</v>
      </c>
      <c r="K24" s="44">
        <v>144</v>
      </c>
      <c r="L24" s="61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65"/>
      <c r="AR24" s="54">
        <f t="shared" si="3"/>
        <v>0</v>
      </c>
      <c r="AS24" s="45">
        <f t="shared" si="4"/>
        <v>0</v>
      </c>
      <c r="AT24" s="46" t="e">
        <f t="shared" si="5"/>
        <v>#DIV/0!</v>
      </c>
      <c r="AU24" s="45">
        <f t="shared" si="6"/>
        <v>0</v>
      </c>
    </row>
    <row r="25" spans="1:47" ht="14.25" customHeight="1">
      <c r="A25" s="39" t="str">
        <f t="shared" si="1"/>
        <v>SWGROZ23739</v>
      </c>
      <c r="B25" s="39" t="s">
        <v>12</v>
      </c>
      <c r="C25" s="39" t="str">
        <f t="shared" si="2"/>
        <v>SWGROZ23739</v>
      </c>
      <c r="D25" s="39" t="s">
        <v>12</v>
      </c>
      <c r="E25" s="39" t="s">
        <v>11</v>
      </c>
      <c r="F25" s="41" t="s">
        <v>30</v>
      </c>
      <c r="G25" s="41" t="s">
        <v>63</v>
      </c>
      <c r="H25" s="42" t="s">
        <v>64</v>
      </c>
      <c r="I25" s="43">
        <v>5</v>
      </c>
      <c r="J25" s="44">
        <v>35</v>
      </c>
      <c r="K25" s="44">
        <v>144</v>
      </c>
      <c r="L25" s="62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7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65"/>
      <c r="AR25" s="54">
        <f t="shared" si="3"/>
        <v>0</v>
      </c>
      <c r="AS25" s="45">
        <f t="shared" si="4"/>
        <v>0</v>
      </c>
      <c r="AT25" s="46" t="e">
        <f t="shared" si="5"/>
        <v>#DIV/0!</v>
      </c>
      <c r="AU25" s="45">
        <f t="shared" si="6"/>
        <v>0</v>
      </c>
    </row>
    <row r="26" spans="1:47" ht="14.25" customHeight="1">
      <c r="A26" s="39" t="str">
        <f t="shared" si="1"/>
        <v>SWGROZ23738</v>
      </c>
      <c r="B26" s="39" t="s">
        <v>12</v>
      </c>
      <c r="C26" s="39" t="str">
        <f t="shared" si="2"/>
        <v>SWGROZ23738</v>
      </c>
      <c r="D26" s="39" t="s">
        <v>12</v>
      </c>
      <c r="E26" s="39" t="s">
        <v>11</v>
      </c>
      <c r="F26" s="41" t="s">
        <v>30</v>
      </c>
      <c r="G26" s="41" t="s">
        <v>65</v>
      </c>
      <c r="H26" s="42" t="s">
        <v>66</v>
      </c>
      <c r="I26" s="43">
        <v>5</v>
      </c>
      <c r="J26" s="44">
        <v>35</v>
      </c>
      <c r="K26" s="44">
        <v>144</v>
      </c>
      <c r="L26" s="62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7"/>
      <c r="AH26" s="56"/>
      <c r="AI26" s="56"/>
      <c r="AJ26" s="56"/>
      <c r="AK26" s="56"/>
      <c r="AL26" s="56"/>
      <c r="AM26" s="56"/>
      <c r="AN26" s="56"/>
      <c r="AO26" s="56"/>
      <c r="AP26" s="56"/>
      <c r="AQ26" s="65"/>
      <c r="AR26" s="54">
        <f t="shared" si="3"/>
        <v>0</v>
      </c>
      <c r="AS26" s="45">
        <f t="shared" si="4"/>
        <v>0</v>
      </c>
      <c r="AT26" s="46" t="e">
        <f t="shared" si="5"/>
        <v>#DIV/0!</v>
      </c>
      <c r="AU26" s="45">
        <f t="shared" si="6"/>
        <v>0</v>
      </c>
    </row>
    <row r="27" spans="1:47" ht="14.25" customHeight="1">
      <c r="A27" s="39" t="str">
        <f t="shared" si="1"/>
        <v>SWGROZ23743</v>
      </c>
      <c r="B27" s="39" t="s">
        <v>12</v>
      </c>
      <c r="C27" s="39" t="str">
        <f t="shared" si="2"/>
        <v>SWGROZ23743</v>
      </c>
      <c r="D27" s="39" t="s">
        <v>12</v>
      </c>
      <c r="E27" s="39" t="s">
        <v>11</v>
      </c>
      <c r="F27" s="41" t="s">
        <v>30</v>
      </c>
      <c r="G27" s="41" t="s">
        <v>67</v>
      </c>
      <c r="H27" s="42" t="s">
        <v>68</v>
      </c>
      <c r="I27" s="43">
        <v>5</v>
      </c>
      <c r="J27" s="44">
        <v>32</v>
      </c>
      <c r="K27" s="44">
        <v>144</v>
      </c>
      <c r="L27" s="62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65"/>
      <c r="AR27" s="54">
        <f t="shared" si="3"/>
        <v>0</v>
      </c>
      <c r="AS27" s="45">
        <f t="shared" si="4"/>
        <v>0</v>
      </c>
      <c r="AT27" s="46" t="e">
        <f t="shared" si="5"/>
        <v>#DIV/0!</v>
      </c>
      <c r="AU27" s="45">
        <f t="shared" si="6"/>
        <v>0</v>
      </c>
    </row>
    <row r="28" spans="1:47" ht="14.25" customHeight="1">
      <c r="A28" s="39" t="str">
        <f t="shared" si="1"/>
        <v>SWGROZ23740</v>
      </c>
      <c r="B28" s="39" t="s">
        <v>12</v>
      </c>
      <c r="C28" s="39" t="str">
        <f t="shared" si="2"/>
        <v>SWGROZ23740</v>
      </c>
      <c r="D28" s="39" t="s">
        <v>12</v>
      </c>
      <c r="E28" s="39" t="s">
        <v>11</v>
      </c>
      <c r="F28" s="41" t="s">
        <v>30</v>
      </c>
      <c r="G28" s="41" t="s">
        <v>69</v>
      </c>
      <c r="H28" s="42" t="s">
        <v>70</v>
      </c>
      <c r="I28" s="43">
        <v>5</v>
      </c>
      <c r="J28" s="44">
        <v>35</v>
      </c>
      <c r="K28" s="44">
        <v>144</v>
      </c>
      <c r="L28" s="61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65"/>
      <c r="AR28" s="54">
        <f t="shared" si="3"/>
        <v>0</v>
      </c>
      <c r="AS28" s="45">
        <f t="shared" si="4"/>
        <v>0</v>
      </c>
      <c r="AT28" s="46" t="e">
        <f t="shared" si="5"/>
        <v>#DIV/0!</v>
      </c>
      <c r="AU28" s="45">
        <f t="shared" si="6"/>
        <v>0</v>
      </c>
    </row>
    <row r="29" spans="1:47" ht="14.25" customHeight="1">
      <c r="A29" s="39" t="str">
        <f t="shared" si="1"/>
        <v>SWGROZ23741</v>
      </c>
      <c r="B29" s="39" t="s">
        <v>12</v>
      </c>
      <c r="C29" s="39" t="str">
        <f t="shared" si="2"/>
        <v>SWGROZ23741</v>
      </c>
      <c r="D29" s="39" t="s">
        <v>12</v>
      </c>
      <c r="E29" s="39" t="s">
        <v>11</v>
      </c>
      <c r="F29" s="41" t="s">
        <v>30</v>
      </c>
      <c r="G29" s="41" t="s">
        <v>71</v>
      </c>
      <c r="H29" s="42" t="s">
        <v>72</v>
      </c>
      <c r="I29" s="43">
        <v>5</v>
      </c>
      <c r="J29" s="44">
        <v>35</v>
      </c>
      <c r="K29" s="44">
        <v>144</v>
      </c>
      <c r="L29" s="61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65"/>
      <c r="AR29" s="54">
        <f t="shared" si="3"/>
        <v>0</v>
      </c>
      <c r="AS29" s="45">
        <f t="shared" si="4"/>
        <v>0</v>
      </c>
      <c r="AT29" s="46" t="e">
        <f t="shared" si="5"/>
        <v>#DIV/0!</v>
      </c>
      <c r="AU29" s="45">
        <f t="shared" si="6"/>
        <v>0</v>
      </c>
    </row>
    <row r="30" spans="1:47" ht="14.25" customHeight="1">
      <c r="A30" s="39" t="str">
        <f t="shared" si="1"/>
        <v>SWGROZ23742</v>
      </c>
      <c r="B30" s="39" t="s">
        <v>12</v>
      </c>
      <c r="C30" s="39" t="str">
        <f t="shared" si="2"/>
        <v>SWGROZ23742</v>
      </c>
      <c r="D30" s="39" t="s">
        <v>12</v>
      </c>
      <c r="E30" s="39" t="s">
        <v>11</v>
      </c>
      <c r="F30" s="41" t="s">
        <v>30</v>
      </c>
      <c r="G30" s="41" t="s">
        <v>73</v>
      </c>
      <c r="H30" s="42" t="s">
        <v>74</v>
      </c>
      <c r="I30" s="43">
        <v>5</v>
      </c>
      <c r="J30" s="44">
        <v>32</v>
      </c>
      <c r="K30" s="44">
        <v>144</v>
      </c>
      <c r="L30" s="62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65"/>
      <c r="AR30" s="54">
        <f t="shared" si="3"/>
        <v>0</v>
      </c>
      <c r="AS30" s="45">
        <f t="shared" si="4"/>
        <v>0</v>
      </c>
      <c r="AT30" s="46" t="e">
        <f t="shared" si="5"/>
        <v>#DIV/0!</v>
      </c>
      <c r="AU30" s="45">
        <f t="shared" si="6"/>
        <v>0</v>
      </c>
    </row>
    <row r="31" spans="1:47" ht="14.25" customHeight="1">
      <c r="A31" s="39" t="str">
        <f t="shared" si="1"/>
        <v>SWGROZ36954</v>
      </c>
      <c r="B31" s="39" t="s">
        <v>12</v>
      </c>
      <c r="C31" s="39" t="str">
        <f t="shared" si="2"/>
        <v>SWGROZ36954</v>
      </c>
      <c r="D31" s="39" t="s">
        <v>12</v>
      </c>
      <c r="E31" s="39" t="s">
        <v>11</v>
      </c>
      <c r="F31" s="41" t="s">
        <v>30</v>
      </c>
      <c r="G31" s="41" t="s">
        <v>75</v>
      </c>
      <c r="H31" s="42" t="s">
        <v>76</v>
      </c>
      <c r="I31" s="43">
        <v>5</v>
      </c>
      <c r="J31" s="44">
        <v>30</v>
      </c>
      <c r="K31" s="44">
        <v>144</v>
      </c>
      <c r="L31" s="61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65"/>
      <c r="AR31" s="54">
        <f t="shared" si="3"/>
        <v>0</v>
      </c>
      <c r="AS31" s="45">
        <f t="shared" si="4"/>
        <v>0</v>
      </c>
      <c r="AT31" s="46" t="e">
        <f t="shared" si="5"/>
        <v>#DIV/0!</v>
      </c>
      <c r="AU31" s="45">
        <f t="shared" si="6"/>
        <v>0</v>
      </c>
    </row>
    <row r="32" spans="1:47" ht="14.25" customHeight="1">
      <c r="A32" s="39" t="str">
        <f t="shared" si="1"/>
        <v>SWGROZ36955</v>
      </c>
      <c r="B32" s="39" t="s">
        <v>12</v>
      </c>
      <c r="C32" s="39" t="str">
        <f t="shared" si="2"/>
        <v>SWGROZ36955</v>
      </c>
      <c r="D32" s="39" t="s">
        <v>12</v>
      </c>
      <c r="E32" s="39" t="s">
        <v>11</v>
      </c>
      <c r="F32" s="41" t="s">
        <v>30</v>
      </c>
      <c r="G32" s="41" t="s">
        <v>77</v>
      </c>
      <c r="H32" s="42" t="s">
        <v>78</v>
      </c>
      <c r="I32" s="43">
        <v>10</v>
      </c>
      <c r="J32" s="44">
        <v>70</v>
      </c>
      <c r="K32" s="44">
        <v>60</v>
      </c>
      <c r="L32" s="62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65"/>
      <c r="AR32" s="54">
        <f t="shared" si="3"/>
        <v>0</v>
      </c>
      <c r="AS32" s="45">
        <f t="shared" si="4"/>
        <v>0</v>
      </c>
      <c r="AT32" s="46" t="e">
        <f t="shared" si="5"/>
        <v>#DIV/0!</v>
      </c>
      <c r="AU32" s="45">
        <f t="shared" si="6"/>
        <v>0</v>
      </c>
    </row>
    <row r="33" spans="1:47" ht="14.25" customHeight="1">
      <c r="A33" s="39" t="str">
        <f t="shared" si="1"/>
        <v>SWGROZ36956</v>
      </c>
      <c r="B33" s="39" t="s">
        <v>12</v>
      </c>
      <c r="C33" s="39" t="str">
        <f t="shared" si="2"/>
        <v>SWGROZ36956</v>
      </c>
      <c r="D33" s="39" t="s">
        <v>12</v>
      </c>
      <c r="E33" s="39" t="s">
        <v>11</v>
      </c>
      <c r="F33" s="41" t="s">
        <v>30</v>
      </c>
      <c r="G33" s="41" t="s">
        <v>79</v>
      </c>
      <c r="H33" s="42" t="s">
        <v>80</v>
      </c>
      <c r="I33" s="43">
        <v>10</v>
      </c>
      <c r="J33" s="44">
        <v>70</v>
      </c>
      <c r="K33" s="44">
        <v>60</v>
      </c>
      <c r="L33" s="62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65"/>
      <c r="AR33" s="54">
        <f t="shared" si="3"/>
        <v>0</v>
      </c>
      <c r="AS33" s="45">
        <f t="shared" si="4"/>
        <v>0</v>
      </c>
      <c r="AT33" s="46" t="e">
        <f t="shared" si="5"/>
        <v>#DIV/0!</v>
      </c>
      <c r="AU33" s="45">
        <f t="shared" si="6"/>
        <v>0</v>
      </c>
    </row>
    <row r="34" spans="1:47" ht="14.25" customHeight="1">
      <c r="A34" s="39" t="str">
        <f t="shared" si="1"/>
        <v>SWGROZ36957</v>
      </c>
      <c r="B34" s="39" t="s">
        <v>12</v>
      </c>
      <c r="C34" s="39" t="str">
        <f t="shared" si="2"/>
        <v>SWGROZ36957</v>
      </c>
      <c r="D34" s="39" t="s">
        <v>12</v>
      </c>
      <c r="E34" s="39" t="s">
        <v>11</v>
      </c>
      <c r="F34" s="41" t="s">
        <v>30</v>
      </c>
      <c r="G34" s="41" t="s">
        <v>81</v>
      </c>
      <c r="H34" s="42" t="s">
        <v>82</v>
      </c>
      <c r="I34" s="43">
        <v>10</v>
      </c>
      <c r="J34" s="44">
        <v>70</v>
      </c>
      <c r="K34" s="44">
        <v>60</v>
      </c>
      <c r="L34" s="61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65"/>
      <c r="AR34" s="54">
        <f t="shared" si="3"/>
        <v>0</v>
      </c>
      <c r="AS34" s="45">
        <f t="shared" si="4"/>
        <v>0</v>
      </c>
      <c r="AT34" s="46" t="e">
        <f t="shared" si="5"/>
        <v>#DIV/0!</v>
      </c>
      <c r="AU34" s="45">
        <f t="shared" si="6"/>
        <v>0</v>
      </c>
    </row>
    <row r="35" spans="1:47" ht="14.25" customHeight="1">
      <c r="A35" s="39" t="str">
        <f t="shared" ref="A35:A66" si="7">D35&amp;G35</f>
        <v>SWGROZ39495</v>
      </c>
      <c r="B35" s="39" t="s">
        <v>12</v>
      </c>
      <c r="C35" s="39" t="str">
        <f t="shared" ref="C35:C66" si="8">B35&amp;G35</f>
        <v>SWGROZ39495</v>
      </c>
      <c r="D35" s="39" t="s">
        <v>12</v>
      </c>
      <c r="E35" s="39" t="s">
        <v>11</v>
      </c>
      <c r="F35" s="41" t="s">
        <v>30</v>
      </c>
      <c r="G35" s="41" t="s">
        <v>83</v>
      </c>
      <c r="H35" s="42" t="s">
        <v>84</v>
      </c>
      <c r="I35" s="43">
        <v>10</v>
      </c>
      <c r="J35" s="44">
        <v>70</v>
      </c>
      <c r="K35" s="44">
        <v>72</v>
      </c>
      <c r="L35" s="61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65"/>
      <c r="AR35" s="54">
        <f t="shared" ref="AR35:AR66" si="9">SUM(M35:AP35)</f>
        <v>0</v>
      </c>
      <c r="AS35" s="45">
        <f t="shared" ref="AS35:AS66" si="10">(AR35*J35*K35)/1000000</f>
        <v>0</v>
      </c>
      <c r="AT35" s="46" t="e">
        <f t="shared" ref="AT35:AT66" si="11">AS35/L35</f>
        <v>#DIV/0!</v>
      </c>
      <c r="AU35" s="45">
        <f t="shared" ref="AU35:AU66" si="12">L35-AS35</f>
        <v>0</v>
      </c>
    </row>
    <row r="36" spans="1:47" ht="14.25" customHeight="1">
      <c r="A36" s="39" t="str">
        <f t="shared" si="7"/>
        <v>SWGROZ36959</v>
      </c>
      <c r="B36" s="39" t="s">
        <v>12</v>
      </c>
      <c r="C36" s="39" t="str">
        <f t="shared" si="8"/>
        <v>SWGROZ36959</v>
      </c>
      <c r="D36" s="39" t="s">
        <v>12</v>
      </c>
      <c r="E36" s="39" t="s">
        <v>11</v>
      </c>
      <c r="F36" s="41" t="s">
        <v>30</v>
      </c>
      <c r="G36" s="41" t="s">
        <v>85</v>
      </c>
      <c r="H36" s="42" t="s">
        <v>86</v>
      </c>
      <c r="I36" s="43">
        <v>10</v>
      </c>
      <c r="J36" s="44">
        <v>65</v>
      </c>
      <c r="K36" s="44">
        <v>60</v>
      </c>
      <c r="L36" s="62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65"/>
      <c r="AR36" s="54">
        <f t="shared" si="9"/>
        <v>0</v>
      </c>
      <c r="AS36" s="45">
        <f t="shared" si="10"/>
        <v>0</v>
      </c>
      <c r="AT36" s="46" t="e">
        <f t="shared" si="11"/>
        <v>#DIV/0!</v>
      </c>
      <c r="AU36" s="45">
        <f t="shared" si="12"/>
        <v>0</v>
      </c>
    </row>
    <row r="37" spans="1:47" ht="14.25" customHeight="1">
      <c r="A37" s="39" t="str">
        <f t="shared" si="7"/>
        <v>SWGROZ36958</v>
      </c>
      <c r="B37" s="39" t="s">
        <v>12</v>
      </c>
      <c r="C37" s="39" t="str">
        <f t="shared" si="8"/>
        <v>SWGROZ36958</v>
      </c>
      <c r="D37" s="39" t="s">
        <v>12</v>
      </c>
      <c r="E37" s="39" t="s">
        <v>11</v>
      </c>
      <c r="F37" s="41" t="s">
        <v>30</v>
      </c>
      <c r="G37" s="41" t="s">
        <v>87</v>
      </c>
      <c r="H37" s="42" t="s">
        <v>88</v>
      </c>
      <c r="I37" s="43">
        <v>10</v>
      </c>
      <c r="J37" s="44">
        <v>65</v>
      </c>
      <c r="K37" s="44">
        <v>60</v>
      </c>
      <c r="L37" s="62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65"/>
      <c r="AR37" s="54">
        <f t="shared" si="9"/>
        <v>0</v>
      </c>
      <c r="AS37" s="45">
        <f t="shared" si="10"/>
        <v>0</v>
      </c>
      <c r="AT37" s="46" t="e">
        <f t="shared" si="11"/>
        <v>#DIV/0!</v>
      </c>
      <c r="AU37" s="45">
        <f t="shared" si="12"/>
        <v>0</v>
      </c>
    </row>
    <row r="38" spans="1:47" ht="14.25" customHeight="1">
      <c r="A38" s="39" t="str">
        <f t="shared" si="7"/>
        <v>SWGROZ36962</v>
      </c>
      <c r="B38" s="39" t="s">
        <v>12</v>
      </c>
      <c r="C38" s="39" t="str">
        <f t="shared" si="8"/>
        <v>SWGROZ36962</v>
      </c>
      <c r="D38" s="39" t="s">
        <v>12</v>
      </c>
      <c r="E38" s="39" t="s">
        <v>11</v>
      </c>
      <c r="F38" s="41" t="s">
        <v>30</v>
      </c>
      <c r="G38" s="41" t="s">
        <v>89</v>
      </c>
      <c r="H38" s="40" t="s">
        <v>90</v>
      </c>
      <c r="I38" s="43">
        <v>10</v>
      </c>
      <c r="J38" s="44">
        <v>75</v>
      </c>
      <c r="K38" s="44">
        <v>72</v>
      </c>
      <c r="L38" s="61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65"/>
      <c r="AR38" s="54">
        <f t="shared" si="9"/>
        <v>0</v>
      </c>
      <c r="AS38" s="45">
        <f t="shared" si="10"/>
        <v>0</v>
      </c>
      <c r="AT38" s="46" t="e">
        <f t="shared" si="11"/>
        <v>#DIV/0!</v>
      </c>
      <c r="AU38" s="45">
        <f t="shared" si="12"/>
        <v>0</v>
      </c>
    </row>
    <row r="39" spans="1:47" ht="14.25" customHeight="1">
      <c r="A39" s="39" t="str">
        <f t="shared" si="7"/>
        <v>SWGROZ36961</v>
      </c>
      <c r="B39" s="39" t="s">
        <v>12</v>
      </c>
      <c r="C39" s="39" t="str">
        <f t="shared" si="8"/>
        <v>SWGROZ36961</v>
      </c>
      <c r="D39" s="39" t="s">
        <v>12</v>
      </c>
      <c r="E39" s="39" t="s">
        <v>11</v>
      </c>
      <c r="F39" s="41" t="s">
        <v>30</v>
      </c>
      <c r="G39" s="41" t="s">
        <v>91</v>
      </c>
      <c r="H39" s="42" t="s">
        <v>92</v>
      </c>
      <c r="I39" s="43">
        <v>10</v>
      </c>
      <c r="J39" s="44">
        <v>65</v>
      </c>
      <c r="K39" s="44">
        <v>72</v>
      </c>
      <c r="L39" s="61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65"/>
      <c r="AR39" s="54">
        <f t="shared" si="9"/>
        <v>0</v>
      </c>
      <c r="AS39" s="45">
        <f t="shared" si="10"/>
        <v>0</v>
      </c>
      <c r="AT39" s="46" t="e">
        <f t="shared" si="11"/>
        <v>#DIV/0!</v>
      </c>
      <c r="AU39" s="45">
        <f t="shared" si="12"/>
        <v>0</v>
      </c>
    </row>
    <row r="40" spans="1:47" ht="14.25" customHeight="1">
      <c r="A40" s="39" t="str">
        <f t="shared" si="7"/>
        <v>SWGROZ36960</v>
      </c>
      <c r="B40" s="39" t="s">
        <v>12</v>
      </c>
      <c r="C40" s="39" t="str">
        <f t="shared" si="8"/>
        <v>SWGROZ36960</v>
      </c>
      <c r="D40" s="39" t="s">
        <v>12</v>
      </c>
      <c r="E40" s="39" t="s">
        <v>11</v>
      </c>
      <c r="F40" s="41" t="s">
        <v>30</v>
      </c>
      <c r="G40" s="41" t="s">
        <v>93</v>
      </c>
      <c r="H40" s="42" t="s">
        <v>94</v>
      </c>
      <c r="I40" s="43">
        <v>10</v>
      </c>
      <c r="J40" s="44">
        <v>60</v>
      </c>
      <c r="K40" s="44">
        <v>60</v>
      </c>
      <c r="L40" s="61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65"/>
      <c r="AR40" s="54">
        <f t="shared" si="9"/>
        <v>0</v>
      </c>
      <c r="AS40" s="45">
        <f t="shared" si="10"/>
        <v>0</v>
      </c>
      <c r="AT40" s="46" t="e">
        <f t="shared" si="11"/>
        <v>#DIV/0!</v>
      </c>
      <c r="AU40" s="45">
        <f t="shared" si="12"/>
        <v>0</v>
      </c>
    </row>
    <row r="41" spans="1:47" ht="14.25" customHeight="1">
      <c r="A41" s="39" t="str">
        <f t="shared" si="7"/>
        <v>SWGROZ23760</v>
      </c>
      <c r="B41" s="39" t="s">
        <v>12</v>
      </c>
      <c r="C41" s="39" t="str">
        <f t="shared" si="8"/>
        <v>SWGROZ23760</v>
      </c>
      <c r="D41" s="39" t="s">
        <v>12</v>
      </c>
      <c r="E41" s="39" t="s">
        <v>11</v>
      </c>
      <c r="F41" s="41" t="s">
        <v>31</v>
      </c>
      <c r="G41" s="39" t="s">
        <v>95</v>
      </c>
      <c r="H41" s="47" t="s">
        <v>96</v>
      </c>
      <c r="I41" s="43">
        <v>20</v>
      </c>
      <c r="J41" s="44">
        <v>130</v>
      </c>
      <c r="K41" s="44">
        <v>24</v>
      </c>
      <c r="L41" s="61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65"/>
      <c r="AR41" s="54">
        <f t="shared" si="9"/>
        <v>0</v>
      </c>
      <c r="AS41" s="45">
        <f t="shared" si="10"/>
        <v>0</v>
      </c>
      <c r="AT41" s="46" t="e">
        <f t="shared" si="11"/>
        <v>#DIV/0!</v>
      </c>
      <c r="AU41" s="45">
        <f t="shared" si="12"/>
        <v>0</v>
      </c>
    </row>
    <row r="42" spans="1:47" ht="14.25" customHeight="1">
      <c r="A42" s="39" t="str">
        <f t="shared" si="7"/>
        <v>SWGROZ23759</v>
      </c>
      <c r="B42" s="39" t="s">
        <v>12</v>
      </c>
      <c r="C42" s="39" t="str">
        <f t="shared" si="8"/>
        <v>SWGROZ23759</v>
      </c>
      <c r="D42" s="39" t="s">
        <v>12</v>
      </c>
      <c r="E42" s="39" t="s">
        <v>11</v>
      </c>
      <c r="F42" s="41" t="s">
        <v>31</v>
      </c>
      <c r="G42" s="39" t="s">
        <v>97</v>
      </c>
      <c r="H42" s="47" t="s">
        <v>98</v>
      </c>
      <c r="I42" s="43">
        <v>10</v>
      </c>
      <c r="J42" s="44">
        <v>65</v>
      </c>
      <c r="K42" s="44">
        <v>24</v>
      </c>
      <c r="L42" s="61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65"/>
      <c r="AR42" s="54">
        <f t="shared" si="9"/>
        <v>0</v>
      </c>
      <c r="AS42" s="45">
        <f t="shared" si="10"/>
        <v>0</v>
      </c>
      <c r="AT42" s="46" t="e">
        <f t="shared" si="11"/>
        <v>#DIV/0!</v>
      </c>
      <c r="AU42" s="45">
        <f t="shared" si="12"/>
        <v>0</v>
      </c>
    </row>
    <row r="43" spans="1:47" ht="14.25" customHeight="1">
      <c r="A43" s="39" t="str">
        <f t="shared" si="7"/>
        <v>SWGROZ50020</v>
      </c>
      <c r="B43" s="39" t="s">
        <v>12</v>
      </c>
      <c r="C43" s="39" t="str">
        <f t="shared" si="8"/>
        <v>SWGROZ50020</v>
      </c>
      <c r="D43" s="39" t="s">
        <v>12</v>
      </c>
      <c r="E43" s="39" t="s">
        <v>11</v>
      </c>
      <c r="F43" s="41" t="s">
        <v>30</v>
      </c>
      <c r="G43" s="39" t="s">
        <v>99</v>
      </c>
      <c r="H43" s="39" t="s">
        <v>100</v>
      </c>
      <c r="I43" s="43">
        <v>5</v>
      </c>
      <c r="J43" s="44">
        <v>35</v>
      </c>
      <c r="K43" s="44">
        <v>144</v>
      </c>
      <c r="L43" s="62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7"/>
      <c r="AL43" s="56"/>
      <c r="AM43" s="56"/>
      <c r="AN43" s="56"/>
      <c r="AO43" s="56"/>
      <c r="AP43" s="57"/>
      <c r="AQ43" s="66"/>
      <c r="AR43" s="54">
        <f t="shared" si="9"/>
        <v>0</v>
      </c>
      <c r="AS43" s="45">
        <f t="shared" si="10"/>
        <v>0</v>
      </c>
      <c r="AT43" s="46" t="e">
        <f t="shared" si="11"/>
        <v>#DIV/0!</v>
      </c>
      <c r="AU43" s="45">
        <f t="shared" si="12"/>
        <v>0</v>
      </c>
    </row>
    <row r="44" spans="1:47" ht="14.25" customHeight="1">
      <c r="A44" s="39" t="str">
        <f t="shared" si="7"/>
        <v>SWG1</v>
      </c>
      <c r="B44" s="39" t="s">
        <v>12</v>
      </c>
      <c r="C44" s="39" t="str">
        <f t="shared" si="8"/>
        <v>SWG1</v>
      </c>
      <c r="D44" s="39" t="s">
        <v>12</v>
      </c>
      <c r="E44" s="39" t="s">
        <v>11</v>
      </c>
      <c r="F44" s="41" t="s">
        <v>30</v>
      </c>
      <c r="G44" s="39">
        <v>1</v>
      </c>
      <c r="H44" s="47" t="s">
        <v>101</v>
      </c>
      <c r="I44" s="39">
        <v>30</v>
      </c>
      <c r="J44" s="39">
        <v>140</v>
      </c>
      <c r="K44" s="39">
        <v>40</v>
      </c>
      <c r="L44" s="61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65"/>
      <c r="AR44" s="54">
        <f t="shared" si="9"/>
        <v>0</v>
      </c>
      <c r="AS44" s="45">
        <f t="shared" si="10"/>
        <v>0</v>
      </c>
      <c r="AT44" s="46" t="e">
        <f t="shared" si="11"/>
        <v>#DIV/0!</v>
      </c>
      <c r="AU44" s="45">
        <f t="shared" si="12"/>
        <v>0</v>
      </c>
    </row>
    <row r="45" spans="1:47" ht="14.25" customHeight="1">
      <c r="A45" s="39" t="str">
        <f t="shared" si="7"/>
        <v>STRAIGHT LINE FOOD PRODUCTS PRIVATE LIMITEDROZ23738</v>
      </c>
      <c r="B45" s="39" t="s">
        <v>102</v>
      </c>
      <c r="C45" s="39" t="str">
        <f t="shared" si="8"/>
        <v>STRROZ23738</v>
      </c>
      <c r="D45" s="39" t="s">
        <v>14</v>
      </c>
      <c r="E45" s="39" t="s">
        <v>13</v>
      </c>
      <c r="F45" s="41" t="s">
        <v>30</v>
      </c>
      <c r="G45" s="39" t="s">
        <v>65</v>
      </c>
      <c r="H45" s="47" t="s">
        <v>66</v>
      </c>
      <c r="I45" s="43">
        <v>5</v>
      </c>
      <c r="J45" s="44">
        <v>35</v>
      </c>
      <c r="K45" s="44">
        <v>144</v>
      </c>
      <c r="L45" s="61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65"/>
      <c r="AR45" s="54">
        <f t="shared" si="9"/>
        <v>0</v>
      </c>
      <c r="AS45" s="45">
        <f t="shared" si="10"/>
        <v>0</v>
      </c>
      <c r="AT45" s="46" t="e">
        <f t="shared" si="11"/>
        <v>#DIV/0!</v>
      </c>
      <c r="AU45" s="45">
        <f t="shared" si="12"/>
        <v>0</v>
      </c>
    </row>
    <row r="46" spans="1:47" ht="14.25" customHeight="1">
      <c r="A46" s="39" t="str">
        <f t="shared" si="7"/>
        <v>STRAIGHT LINE FOOD PRODUCTS PRIVATE LIMITEDROZ23739</v>
      </c>
      <c r="B46" s="39" t="s">
        <v>102</v>
      </c>
      <c r="C46" s="39" t="str">
        <f t="shared" si="8"/>
        <v>STRROZ23739</v>
      </c>
      <c r="D46" s="39" t="s">
        <v>14</v>
      </c>
      <c r="E46" s="39" t="s">
        <v>13</v>
      </c>
      <c r="F46" s="41" t="s">
        <v>30</v>
      </c>
      <c r="G46" s="39" t="s">
        <v>63</v>
      </c>
      <c r="H46" s="47" t="s">
        <v>64</v>
      </c>
      <c r="I46" s="43">
        <v>5</v>
      </c>
      <c r="J46" s="44">
        <v>35</v>
      </c>
      <c r="K46" s="44">
        <v>144</v>
      </c>
      <c r="L46" s="63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65"/>
      <c r="AR46" s="54">
        <f t="shared" si="9"/>
        <v>0</v>
      </c>
      <c r="AS46" s="45">
        <f t="shared" si="10"/>
        <v>0</v>
      </c>
      <c r="AT46" s="46" t="e">
        <f t="shared" si="11"/>
        <v>#DIV/0!</v>
      </c>
      <c r="AU46" s="45">
        <f t="shared" si="12"/>
        <v>0</v>
      </c>
    </row>
    <row r="47" spans="1:47" ht="14.25" customHeight="1">
      <c r="A47" s="39" t="str">
        <f t="shared" si="7"/>
        <v>STRAIGHT LINE FOOD PRODUCTS PRIVATE LIMITEDROZ23741</v>
      </c>
      <c r="B47" s="39" t="s">
        <v>102</v>
      </c>
      <c r="C47" s="39" t="str">
        <f t="shared" si="8"/>
        <v>STRROZ23741</v>
      </c>
      <c r="D47" s="39" t="s">
        <v>14</v>
      </c>
      <c r="E47" s="39" t="s">
        <v>13</v>
      </c>
      <c r="F47" s="41" t="s">
        <v>30</v>
      </c>
      <c r="G47" s="39" t="s">
        <v>71</v>
      </c>
      <c r="H47" s="47" t="s">
        <v>72</v>
      </c>
      <c r="I47" s="43">
        <v>5</v>
      </c>
      <c r="J47" s="44">
        <v>35</v>
      </c>
      <c r="K47" s="44">
        <v>144</v>
      </c>
      <c r="L47" s="61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65"/>
      <c r="AR47" s="54">
        <f t="shared" si="9"/>
        <v>0</v>
      </c>
      <c r="AS47" s="45">
        <f t="shared" si="10"/>
        <v>0</v>
      </c>
      <c r="AT47" s="46" t="e">
        <f t="shared" si="11"/>
        <v>#DIV/0!</v>
      </c>
      <c r="AU47" s="45">
        <f t="shared" si="12"/>
        <v>0</v>
      </c>
    </row>
    <row r="48" spans="1:47" ht="14.25" customHeight="1">
      <c r="A48" s="39" t="str">
        <f t="shared" si="7"/>
        <v>STRAIGHT LINE FOOD PRODUCTS PRIVATE LIMITEDROZ36954</v>
      </c>
      <c r="B48" s="39" t="s">
        <v>102</v>
      </c>
      <c r="C48" s="39" t="str">
        <f t="shared" si="8"/>
        <v>STRROZ36954</v>
      </c>
      <c r="D48" s="39" t="s">
        <v>14</v>
      </c>
      <c r="E48" s="39" t="s">
        <v>13</v>
      </c>
      <c r="F48" s="41" t="s">
        <v>30</v>
      </c>
      <c r="G48" s="39" t="s">
        <v>75</v>
      </c>
      <c r="H48" s="47" t="s">
        <v>76</v>
      </c>
      <c r="I48" s="43">
        <v>5</v>
      </c>
      <c r="J48" s="44">
        <v>30</v>
      </c>
      <c r="K48" s="44">
        <v>144</v>
      </c>
      <c r="L48" s="61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65"/>
      <c r="AR48" s="54">
        <f t="shared" si="9"/>
        <v>0</v>
      </c>
      <c r="AS48" s="45">
        <f t="shared" si="10"/>
        <v>0</v>
      </c>
      <c r="AT48" s="46" t="e">
        <f t="shared" si="11"/>
        <v>#DIV/0!</v>
      </c>
      <c r="AU48" s="45">
        <f t="shared" si="12"/>
        <v>0</v>
      </c>
    </row>
    <row r="49" spans="1:47" ht="14.25" customHeight="1">
      <c r="A49" s="39" t="str">
        <f t="shared" si="7"/>
        <v>STRAIGHT LINE FOOD PRODUCTS PRIVATE LIMITEDROZ23743</v>
      </c>
      <c r="B49" s="39" t="s">
        <v>102</v>
      </c>
      <c r="C49" s="39" t="str">
        <f t="shared" si="8"/>
        <v>STRROZ23743</v>
      </c>
      <c r="D49" s="39" t="s">
        <v>14</v>
      </c>
      <c r="E49" s="39" t="s">
        <v>13</v>
      </c>
      <c r="F49" s="41" t="s">
        <v>30</v>
      </c>
      <c r="G49" s="39" t="s">
        <v>67</v>
      </c>
      <c r="H49" s="47" t="s">
        <v>68</v>
      </c>
      <c r="I49" s="43">
        <v>5</v>
      </c>
      <c r="J49" s="44">
        <v>32</v>
      </c>
      <c r="K49" s="44">
        <v>144</v>
      </c>
      <c r="L49" s="61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65"/>
      <c r="AR49" s="54">
        <f t="shared" si="9"/>
        <v>0</v>
      </c>
      <c r="AS49" s="45">
        <f t="shared" si="10"/>
        <v>0</v>
      </c>
      <c r="AT49" s="46" t="e">
        <f t="shared" si="11"/>
        <v>#DIV/0!</v>
      </c>
      <c r="AU49" s="45">
        <f t="shared" si="12"/>
        <v>0</v>
      </c>
    </row>
    <row r="50" spans="1:47" ht="14.25" customHeight="1">
      <c r="A50" s="39" t="str">
        <f t="shared" si="7"/>
        <v>STRAIGHT LINE FOOD PRODUCTS PRIVATE LIMITEDROZ36962</v>
      </c>
      <c r="B50" s="39" t="s">
        <v>102</v>
      </c>
      <c r="C50" s="39" t="str">
        <f t="shared" si="8"/>
        <v>STRROZ36962</v>
      </c>
      <c r="D50" s="39" t="s">
        <v>14</v>
      </c>
      <c r="E50" s="39" t="s">
        <v>13</v>
      </c>
      <c r="F50" s="41" t="s">
        <v>30</v>
      </c>
      <c r="G50" s="41" t="s">
        <v>89</v>
      </c>
      <c r="H50" s="40" t="s">
        <v>90</v>
      </c>
      <c r="I50" s="43">
        <v>10</v>
      </c>
      <c r="J50" s="44">
        <v>75</v>
      </c>
      <c r="K50" s="44">
        <v>72</v>
      </c>
      <c r="L50" s="63"/>
      <c r="M50" s="56"/>
      <c r="N50" s="56"/>
      <c r="O50" s="56"/>
      <c r="P50" s="56"/>
      <c r="Q50" s="56"/>
      <c r="R50" s="56"/>
      <c r="S50" s="57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7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65"/>
      <c r="AR50" s="54">
        <f t="shared" si="9"/>
        <v>0</v>
      </c>
      <c r="AS50" s="45">
        <f t="shared" si="10"/>
        <v>0</v>
      </c>
      <c r="AT50" s="46" t="e">
        <f t="shared" si="11"/>
        <v>#DIV/0!</v>
      </c>
      <c r="AU50" s="45">
        <f t="shared" si="12"/>
        <v>0</v>
      </c>
    </row>
    <row r="51" spans="1:47" ht="14.25" customHeight="1">
      <c r="A51" s="39" t="str">
        <f t="shared" si="7"/>
        <v>STRAIGHT LINE FOOD PRODUCTS PRIVATE LIMITEDROZ36955</v>
      </c>
      <c r="B51" s="39" t="s">
        <v>102</v>
      </c>
      <c r="C51" s="39" t="str">
        <f t="shared" si="8"/>
        <v>STRROZ36955</v>
      </c>
      <c r="D51" s="39" t="s">
        <v>14</v>
      </c>
      <c r="E51" s="39" t="s">
        <v>13</v>
      </c>
      <c r="F51" s="41" t="s">
        <v>30</v>
      </c>
      <c r="G51" s="41" t="s">
        <v>77</v>
      </c>
      <c r="H51" s="42" t="s">
        <v>78</v>
      </c>
      <c r="I51" s="43">
        <v>10</v>
      </c>
      <c r="J51" s="44">
        <v>70</v>
      </c>
      <c r="K51" s="44">
        <v>60</v>
      </c>
      <c r="L51" s="63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65"/>
      <c r="AR51" s="54">
        <f t="shared" si="9"/>
        <v>0</v>
      </c>
      <c r="AS51" s="45">
        <f t="shared" si="10"/>
        <v>0</v>
      </c>
      <c r="AT51" s="46" t="e">
        <f t="shared" si="11"/>
        <v>#DIV/0!</v>
      </c>
      <c r="AU51" s="45">
        <f t="shared" si="12"/>
        <v>0</v>
      </c>
    </row>
    <row r="52" spans="1:47" ht="14.25" customHeight="1">
      <c r="A52" s="39" t="str">
        <f t="shared" si="7"/>
        <v>STRAIGHT LINE FOOD PRODUCTS PRIVATE LIMITEDROZ36957</v>
      </c>
      <c r="B52" s="39" t="s">
        <v>102</v>
      </c>
      <c r="C52" s="39" t="str">
        <f t="shared" si="8"/>
        <v>STRROZ36957</v>
      </c>
      <c r="D52" s="39" t="s">
        <v>14</v>
      </c>
      <c r="E52" s="39" t="s">
        <v>13</v>
      </c>
      <c r="F52" s="41" t="s">
        <v>30</v>
      </c>
      <c r="G52" s="41" t="s">
        <v>81</v>
      </c>
      <c r="H52" s="42" t="s">
        <v>82</v>
      </c>
      <c r="I52" s="43">
        <v>10</v>
      </c>
      <c r="J52" s="44">
        <v>70</v>
      </c>
      <c r="K52" s="44">
        <v>60</v>
      </c>
      <c r="L52" s="61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65"/>
      <c r="AR52" s="54">
        <f t="shared" si="9"/>
        <v>0</v>
      </c>
      <c r="AS52" s="45">
        <f t="shared" si="10"/>
        <v>0</v>
      </c>
      <c r="AT52" s="46" t="e">
        <f t="shared" si="11"/>
        <v>#DIV/0!</v>
      </c>
      <c r="AU52" s="45">
        <f t="shared" si="12"/>
        <v>0</v>
      </c>
    </row>
    <row r="53" spans="1:47" ht="14.25" customHeight="1">
      <c r="A53" s="39" t="str">
        <f t="shared" si="7"/>
        <v>STRAIGHT LINE FOOD PRODUCTS PRIVATE LIMITEDROZ36959</v>
      </c>
      <c r="B53" s="39" t="s">
        <v>102</v>
      </c>
      <c r="C53" s="39" t="str">
        <f t="shared" si="8"/>
        <v>STRROZ36959</v>
      </c>
      <c r="D53" s="39" t="s">
        <v>14</v>
      </c>
      <c r="E53" s="39" t="s">
        <v>13</v>
      </c>
      <c r="F53" s="41" t="s">
        <v>30</v>
      </c>
      <c r="G53" s="41" t="s">
        <v>85</v>
      </c>
      <c r="H53" s="42" t="s">
        <v>86</v>
      </c>
      <c r="I53" s="43">
        <v>10</v>
      </c>
      <c r="J53" s="44">
        <v>65</v>
      </c>
      <c r="K53" s="44">
        <v>60</v>
      </c>
      <c r="L53" s="63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65"/>
      <c r="AR53" s="54">
        <f t="shared" si="9"/>
        <v>0</v>
      </c>
      <c r="AS53" s="45">
        <f t="shared" si="10"/>
        <v>0</v>
      </c>
      <c r="AT53" s="46" t="e">
        <f t="shared" si="11"/>
        <v>#DIV/0!</v>
      </c>
      <c r="AU53" s="45">
        <f t="shared" si="12"/>
        <v>0</v>
      </c>
    </row>
    <row r="54" spans="1:47" ht="14.25" customHeight="1">
      <c r="A54" s="39" t="str">
        <f t="shared" si="7"/>
        <v>STRAIGHT LINE FOOD PRODUCTS PRIVATE LIMITEDROZ23742</v>
      </c>
      <c r="B54" s="39" t="s">
        <v>102</v>
      </c>
      <c r="C54" s="39" t="str">
        <f t="shared" si="8"/>
        <v>STRROZ23742</v>
      </c>
      <c r="D54" s="39" t="s">
        <v>14</v>
      </c>
      <c r="E54" s="39" t="s">
        <v>13</v>
      </c>
      <c r="F54" s="41" t="s">
        <v>30</v>
      </c>
      <c r="G54" s="41" t="s">
        <v>73</v>
      </c>
      <c r="H54" s="42" t="s">
        <v>74</v>
      </c>
      <c r="I54" s="43">
        <v>5</v>
      </c>
      <c r="J54" s="44">
        <v>32</v>
      </c>
      <c r="K54" s="44">
        <v>144</v>
      </c>
      <c r="L54" s="63"/>
      <c r="M54" s="56"/>
      <c r="N54" s="56"/>
      <c r="O54" s="56"/>
      <c r="P54" s="56"/>
      <c r="Q54" s="56"/>
      <c r="R54" s="56"/>
      <c r="S54" s="56"/>
      <c r="T54" s="56"/>
      <c r="U54" s="56"/>
      <c r="V54" s="57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7"/>
      <c r="AJ54" s="56"/>
      <c r="AK54" s="56"/>
      <c r="AL54" s="56"/>
      <c r="AM54" s="56"/>
      <c r="AN54" s="56"/>
      <c r="AO54" s="57"/>
      <c r="AP54" s="56"/>
      <c r="AQ54" s="65"/>
      <c r="AR54" s="54">
        <f t="shared" si="9"/>
        <v>0</v>
      </c>
      <c r="AS54" s="45">
        <f t="shared" si="10"/>
        <v>0</v>
      </c>
      <c r="AT54" s="46" t="e">
        <f t="shared" si="11"/>
        <v>#DIV/0!</v>
      </c>
      <c r="AU54" s="45">
        <f t="shared" si="12"/>
        <v>0</v>
      </c>
    </row>
    <row r="55" spans="1:47" ht="14.25" customHeight="1">
      <c r="A55" s="39" t="str">
        <f t="shared" si="7"/>
        <v>STRAIGHT LINE FOOD PRODUCTS PRIVATE LIMITEDROZ36958</v>
      </c>
      <c r="B55" s="39" t="s">
        <v>102</v>
      </c>
      <c r="C55" s="39" t="str">
        <f t="shared" si="8"/>
        <v>STRROZ36958</v>
      </c>
      <c r="D55" s="39" t="s">
        <v>14</v>
      </c>
      <c r="E55" s="39" t="s">
        <v>13</v>
      </c>
      <c r="F55" s="41" t="s">
        <v>30</v>
      </c>
      <c r="G55" s="41" t="s">
        <v>87</v>
      </c>
      <c r="H55" s="42" t="s">
        <v>88</v>
      </c>
      <c r="I55" s="43">
        <v>10</v>
      </c>
      <c r="J55" s="44">
        <v>65</v>
      </c>
      <c r="K55" s="44">
        <v>60</v>
      </c>
      <c r="L55" s="63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65"/>
      <c r="AR55" s="54">
        <f t="shared" si="9"/>
        <v>0</v>
      </c>
      <c r="AS55" s="45">
        <f t="shared" si="10"/>
        <v>0</v>
      </c>
      <c r="AT55" s="46" t="e">
        <f t="shared" si="11"/>
        <v>#DIV/0!</v>
      </c>
      <c r="AU55" s="45">
        <f t="shared" si="12"/>
        <v>0</v>
      </c>
    </row>
    <row r="56" spans="1:47" ht="14.25" customHeight="1">
      <c r="A56" s="39" t="str">
        <f t="shared" si="7"/>
        <v>STRAIGHT LINE FOOD PRODUCTS PRIVATE LIMITEDROZ36960</v>
      </c>
      <c r="B56" s="39" t="s">
        <v>102</v>
      </c>
      <c r="C56" s="39" t="str">
        <f t="shared" si="8"/>
        <v>STRROZ36960</v>
      </c>
      <c r="D56" s="39" t="s">
        <v>14</v>
      </c>
      <c r="E56" s="39" t="s">
        <v>13</v>
      </c>
      <c r="F56" s="41" t="s">
        <v>30</v>
      </c>
      <c r="G56" s="41" t="s">
        <v>93</v>
      </c>
      <c r="H56" s="42" t="s">
        <v>94</v>
      </c>
      <c r="I56" s="43">
        <v>10</v>
      </c>
      <c r="J56" s="44">
        <v>60</v>
      </c>
      <c r="K56" s="44">
        <v>60</v>
      </c>
      <c r="L56" s="61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65"/>
      <c r="AR56" s="54">
        <f t="shared" si="9"/>
        <v>0</v>
      </c>
      <c r="AS56" s="45">
        <f t="shared" si="10"/>
        <v>0</v>
      </c>
      <c r="AT56" s="46" t="e">
        <f t="shared" si="11"/>
        <v>#DIV/0!</v>
      </c>
      <c r="AU56" s="45">
        <f t="shared" si="12"/>
        <v>0</v>
      </c>
    </row>
    <row r="57" spans="1:47" ht="14.25" customHeight="1">
      <c r="A57" s="39" t="str">
        <f t="shared" si="7"/>
        <v>STRAIGHT LINE FOOD PRODUCTS PRIVATE LIMITEDROZ36956</v>
      </c>
      <c r="B57" s="39" t="s">
        <v>102</v>
      </c>
      <c r="C57" s="39" t="str">
        <f t="shared" si="8"/>
        <v>STRROZ36956</v>
      </c>
      <c r="D57" s="39" t="s">
        <v>14</v>
      </c>
      <c r="E57" s="39" t="s">
        <v>13</v>
      </c>
      <c r="F57" s="41" t="s">
        <v>30</v>
      </c>
      <c r="G57" s="41" t="s">
        <v>79</v>
      </c>
      <c r="H57" s="42" t="s">
        <v>80</v>
      </c>
      <c r="I57" s="43">
        <v>10</v>
      </c>
      <c r="J57" s="44">
        <v>70</v>
      </c>
      <c r="K57" s="44">
        <v>60</v>
      </c>
      <c r="L57" s="63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65"/>
      <c r="AR57" s="54">
        <f t="shared" si="9"/>
        <v>0</v>
      </c>
      <c r="AS57" s="45">
        <f t="shared" si="10"/>
        <v>0</v>
      </c>
      <c r="AT57" s="46" t="e">
        <f t="shared" si="11"/>
        <v>#DIV/0!</v>
      </c>
      <c r="AU57" s="45">
        <f t="shared" si="12"/>
        <v>0</v>
      </c>
    </row>
    <row r="58" spans="1:47" ht="14.25" customHeight="1">
      <c r="A58" s="39" t="str">
        <f t="shared" si="7"/>
        <v>STRAIGHT LINE FOOD PRODUCTS PRIVATE LIMITEDROZ39494</v>
      </c>
      <c r="B58" s="39" t="s">
        <v>102</v>
      </c>
      <c r="C58" s="39" t="str">
        <f t="shared" si="8"/>
        <v>STRROZ39494</v>
      </c>
      <c r="D58" s="39" t="s">
        <v>14</v>
      </c>
      <c r="E58" s="39" t="s">
        <v>13</v>
      </c>
      <c r="F58" s="41" t="s">
        <v>30</v>
      </c>
      <c r="G58" s="41" t="s">
        <v>61</v>
      </c>
      <c r="H58" s="42" t="s">
        <v>62</v>
      </c>
      <c r="I58" s="43">
        <v>5</v>
      </c>
      <c r="J58" s="44">
        <v>35</v>
      </c>
      <c r="K58" s="44">
        <v>144</v>
      </c>
      <c r="L58" s="61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65"/>
      <c r="AR58" s="54">
        <f t="shared" si="9"/>
        <v>0</v>
      </c>
      <c r="AS58" s="45">
        <f t="shared" si="10"/>
        <v>0</v>
      </c>
      <c r="AT58" s="46" t="e">
        <f t="shared" si="11"/>
        <v>#DIV/0!</v>
      </c>
      <c r="AU58" s="45">
        <f t="shared" si="12"/>
        <v>0</v>
      </c>
    </row>
    <row r="59" spans="1:47" ht="14.25" customHeight="1">
      <c r="A59" s="39" t="str">
        <f t="shared" si="7"/>
        <v>STRAIGHT LINE FOOD PRODUCTS PRIVATE LIMITEDROZ23740</v>
      </c>
      <c r="B59" s="39" t="s">
        <v>102</v>
      </c>
      <c r="C59" s="39" t="str">
        <f t="shared" si="8"/>
        <v>STRROZ23740</v>
      </c>
      <c r="D59" s="39" t="s">
        <v>14</v>
      </c>
      <c r="E59" s="39" t="s">
        <v>13</v>
      </c>
      <c r="F59" s="41" t="s">
        <v>30</v>
      </c>
      <c r="G59" s="41" t="s">
        <v>69</v>
      </c>
      <c r="H59" s="42" t="s">
        <v>70</v>
      </c>
      <c r="I59" s="43">
        <v>5</v>
      </c>
      <c r="J59" s="44">
        <v>35</v>
      </c>
      <c r="K59" s="44">
        <v>144</v>
      </c>
      <c r="L59" s="61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65"/>
      <c r="AR59" s="54">
        <f t="shared" si="9"/>
        <v>0</v>
      </c>
      <c r="AS59" s="45">
        <f t="shared" si="10"/>
        <v>0</v>
      </c>
      <c r="AT59" s="46" t="e">
        <f t="shared" si="11"/>
        <v>#DIV/0!</v>
      </c>
      <c r="AU59" s="45">
        <f t="shared" si="12"/>
        <v>0</v>
      </c>
    </row>
    <row r="60" spans="1:47" ht="14.25" customHeight="1">
      <c r="A60" s="39" t="str">
        <f t="shared" si="7"/>
        <v>STRAIGHT LINE FOOD PRODUCTS PRIVATE LIMITEDROZ39495</v>
      </c>
      <c r="B60" s="39" t="s">
        <v>102</v>
      </c>
      <c r="C60" s="39" t="str">
        <f t="shared" si="8"/>
        <v>STRROZ39495</v>
      </c>
      <c r="D60" s="39" t="s">
        <v>14</v>
      </c>
      <c r="E60" s="39" t="s">
        <v>13</v>
      </c>
      <c r="F60" s="41" t="s">
        <v>30</v>
      </c>
      <c r="G60" s="41" t="s">
        <v>83</v>
      </c>
      <c r="H60" s="42" t="s">
        <v>84</v>
      </c>
      <c r="I60" s="43">
        <v>10</v>
      </c>
      <c r="J60" s="44">
        <v>70</v>
      </c>
      <c r="K60" s="44">
        <v>72</v>
      </c>
      <c r="L60" s="61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65"/>
      <c r="AR60" s="54">
        <f t="shared" si="9"/>
        <v>0</v>
      </c>
      <c r="AS60" s="45">
        <f t="shared" si="10"/>
        <v>0</v>
      </c>
      <c r="AT60" s="46" t="e">
        <f t="shared" si="11"/>
        <v>#DIV/0!</v>
      </c>
      <c r="AU60" s="45">
        <f t="shared" si="12"/>
        <v>0</v>
      </c>
    </row>
    <row r="61" spans="1:47" ht="14.25" customHeight="1">
      <c r="A61" s="39" t="str">
        <f t="shared" si="7"/>
        <v>STRAIGHT LINE FOOD PRODUCTS PRIVATE LIMITEDROZ36961</v>
      </c>
      <c r="B61" s="39" t="s">
        <v>102</v>
      </c>
      <c r="C61" s="39" t="str">
        <f t="shared" si="8"/>
        <v>STRROZ36961</v>
      </c>
      <c r="D61" s="39" t="s">
        <v>14</v>
      </c>
      <c r="E61" s="39" t="s">
        <v>13</v>
      </c>
      <c r="F61" s="41" t="s">
        <v>30</v>
      </c>
      <c r="G61" s="41" t="s">
        <v>91</v>
      </c>
      <c r="H61" s="42" t="s">
        <v>92</v>
      </c>
      <c r="I61" s="43">
        <v>10</v>
      </c>
      <c r="J61" s="44">
        <v>65</v>
      </c>
      <c r="K61" s="44">
        <v>72</v>
      </c>
      <c r="L61" s="61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65"/>
      <c r="AR61" s="54">
        <f t="shared" si="9"/>
        <v>0</v>
      </c>
      <c r="AS61" s="45">
        <f t="shared" si="10"/>
        <v>0</v>
      </c>
      <c r="AT61" s="46" t="e">
        <f t="shared" si="11"/>
        <v>#DIV/0!</v>
      </c>
      <c r="AU61" s="45">
        <f t="shared" si="12"/>
        <v>0</v>
      </c>
    </row>
    <row r="62" spans="1:47" ht="14.25" customHeight="1">
      <c r="A62" s="39" t="str">
        <f t="shared" si="7"/>
        <v>STRAIGHT LINE FOOD PRODUCTS PRIVATE LIMITEDROZ23760</v>
      </c>
      <c r="B62" s="39" t="s">
        <v>102</v>
      </c>
      <c r="C62" s="39" t="str">
        <f t="shared" si="8"/>
        <v>STRROZ23760</v>
      </c>
      <c r="D62" s="39" t="s">
        <v>14</v>
      </c>
      <c r="E62" s="39" t="s">
        <v>13</v>
      </c>
      <c r="F62" s="41" t="s">
        <v>31</v>
      </c>
      <c r="G62" s="39" t="s">
        <v>95</v>
      </c>
      <c r="H62" s="47" t="s">
        <v>96</v>
      </c>
      <c r="I62" s="43">
        <v>20</v>
      </c>
      <c r="J62" s="44">
        <v>130</v>
      </c>
      <c r="K62" s="44">
        <v>24</v>
      </c>
      <c r="L62" s="61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65"/>
      <c r="AR62" s="54">
        <f t="shared" si="9"/>
        <v>0</v>
      </c>
      <c r="AS62" s="45">
        <f t="shared" si="10"/>
        <v>0</v>
      </c>
      <c r="AT62" s="46" t="e">
        <f t="shared" si="11"/>
        <v>#DIV/0!</v>
      </c>
      <c r="AU62" s="45">
        <f t="shared" si="12"/>
        <v>0</v>
      </c>
    </row>
    <row r="63" spans="1:47" ht="14.25" customHeight="1">
      <c r="A63" s="39" t="str">
        <f t="shared" si="7"/>
        <v>STRAIGHT LINE FOOD PRODUCTS PRIVATE LIMITEDROZ23759</v>
      </c>
      <c r="B63" s="39" t="s">
        <v>102</v>
      </c>
      <c r="C63" s="39" t="str">
        <f t="shared" si="8"/>
        <v>STRROZ23759</v>
      </c>
      <c r="D63" s="39" t="s">
        <v>14</v>
      </c>
      <c r="E63" s="39" t="s">
        <v>13</v>
      </c>
      <c r="F63" s="41" t="s">
        <v>31</v>
      </c>
      <c r="G63" s="39" t="s">
        <v>97</v>
      </c>
      <c r="H63" s="47" t="s">
        <v>98</v>
      </c>
      <c r="I63" s="43">
        <v>10</v>
      </c>
      <c r="J63" s="44">
        <v>65</v>
      </c>
      <c r="K63" s="44">
        <v>24</v>
      </c>
      <c r="L63" s="61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65"/>
      <c r="AR63" s="54">
        <f t="shared" si="9"/>
        <v>0</v>
      </c>
      <c r="AS63" s="45">
        <f t="shared" si="10"/>
        <v>0</v>
      </c>
      <c r="AT63" s="46" t="e">
        <f t="shared" si="11"/>
        <v>#DIV/0!</v>
      </c>
      <c r="AU63" s="45">
        <f t="shared" si="12"/>
        <v>0</v>
      </c>
    </row>
    <row r="64" spans="1:47" ht="14.25" customHeight="1">
      <c r="A64" s="39" t="str">
        <f t="shared" si="7"/>
        <v>STRAIGHT LINE FOOD PRODUCTS PRIVATE LIMITEDROZ50020</v>
      </c>
      <c r="B64" s="39" t="s">
        <v>102</v>
      </c>
      <c r="C64" s="39" t="str">
        <f t="shared" si="8"/>
        <v>STRROZ50020</v>
      </c>
      <c r="D64" s="39" t="s">
        <v>14</v>
      </c>
      <c r="E64" s="39" t="s">
        <v>13</v>
      </c>
      <c r="F64" s="41" t="s">
        <v>30</v>
      </c>
      <c r="G64" s="39" t="s">
        <v>99</v>
      </c>
      <c r="H64" s="39" t="s">
        <v>100</v>
      </c>
      <c r="I64" s="43">
        <v>5</v>
      </c>
      <c r="J64" s="44">
        <v>35</v>
      </c>
      <c r="K64" s="44">
        <v>144</v>
      </c>
      <c r="L64" s="61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65"/>
      <c r="AR64" s="54">
        <f t="shared" si="9"/>
        <v>0</v>
      </c>
      <c r="AS64" s="45">
        <f t="shared" si="10"/>
        <v>0</v>
      </c>
      <c r="AT64" s="46" t="e">
        <f t="shared" si="11"/>
        <v>#DIV/0!</v>
      </c>
      <c r="AU64" s="45">
        <f t="shared" si="12"/>
        <v>0</v>
      </c>
    </row>
    <row r="65" spans="1:47" ht="14.25" customHeight="1">
      <c r="A65" s="39" t="str">
        <f t="shared" si="7"/>
        <v>STRAIGHT LINE FOOD PRODUCTS PRIVATE LIMITED1</v>
      </c>
      <c r="B65" s="39" t="s">
        <v>102</v>
      </c>
      <c r="C65" s="39" t="str">
        <f t="shared" si="8"/>
        <v>STR1</v>
      </c>
      <c r="D65" s="39" t="s">
        <v>14</v>
      </c>
      <c r="E65" s="39" t="s">
        <v>13</v>
      </c>
      <c r="F65" s="41" t="s">
        <v>30</v>
      </c>
      <c r="G65" s="39">
        <v>1</v>
      </c>
      <c r="H65" s="47" t="s">
        <v>101</v>
      </c>
      <c r="I65" s="39">
        <v>30</v>
      </c>
      <c r="J65" s="39">
        <v>140</v>
      </c>
      <c r="K65" s="39">
        <v>40</v>
      </c>
      <c r="L65" s="61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65"/>
      <c r="AR65" s="54">
        <f t="shared" si="9"/>
        <v>0</v>
      </c>
      <c r="AS65" s="45">
        <f t="shared" si="10"/>
        <v>0</v>
      </c>
      <c r="AT65" s="46" t="e">
        <f t="shared" si="11"/>
        <v>#DIV/0!</v>
      </c>
      <c r="AU65" s="45">
        <f t="shared" si="12"/>
        <v>0</v>
      </c>
    </row>
    <row r="66" spans="1:47" ht="14.25" customHeight="1">
      <c r="A66" s="39" t="str">
        <f t="shared" si="7"/>
        <v>RATTAN OIL MILLSROZ23741</v>
      </c>
      <c r="B66" s="39" t="s">
        <v>103</v>
      </c>
      <c r="C66" s="39" t="str">
        <f t="shared" si="8"/>
        <v>RTROZ23741</v>
      </c>
      <c r="D66" s="39" t="s">
        <v>16</v>
      </c>
      <c r="E66" s="39" t="s">
        <v>15</v>
      </c>
      <c r="F66" s="41" t="s">
        <v>30</v>
      </c>
      <c r="G66" s="48" t="s">
        <v>71</v>
      </c>
      <c r="H66" s="47" t="s">
        <v>104</v>
      </c>
      <c r="I66" s="43">
        <v>5</v>
      </c>
      <c r="J66" s="44">
        <v>33</v>
      </c>
      <c r="K66" s="44">
        <v>144</v>
      </c>
      <c r="L66" s="63"/>
      <c r="M66" s="56"/>
      <c r="N66" s="56"/>
      <c r="O66" s="56"/>
      <c r="P66" s="56"/>
      <c r="Q66" s="56"/>
      <c r="R66" s="56"/>
      <c r="S66" s="56"/>
      <c r="T66" s="56"/>
      <c r="U66" s="57"/>
      <c r="V66" s="57"/>
      <c r="W66" s="57"/>
      <c r="X66" s="56"/>
      <c r="Y66" s="56"/>
      <c r="Z66" s="57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7"/>
      <c r="AO66" s="56"/>
      <c r="AP66" s="56"/>
      <c r="AQ66" s="65"/>
      <c r="AR66" s="54">
        <f t="shared" si="9"/>
        <v>0</v>
      </c>
      <c r="AS66" s="45">
        <f t="shared" si="10"/>
        <v>0</v>
      </c>
      <c r="AT66" s="46" t="e">
        <f t="shared" si="11"/>
        <v>#DIV/0!</v>
      </c>
      <c r="AU66" s="45">
        <f t="shared" si="12"/>
        <v>0</v>
      </c>
    </row>
    <row r="67" spans="1:47" ht="14.25" customHeight="1">
      <c r="A67" s="39" t="str">
        <f t="shared" ref="A67:A98" si="13">D67&amp;G67</f>
        <v>RATTAN OIL MILLSROZ36957</v>
      </c>
      <c r="B67" s="39" t="s">
        <v>103</v>
      </c>
      <c r="C67" s="39" t="str">
        <f t="shared" ref="C67:C98" si="14">B67&amp;G67</f>
        <v>RTROZ36957</v>
      </c>
      <c r="D67" s="39" t="s">
        <v>16</v>
      </c>
      <c r="E67" s="39" t="s">
        <v>15</v>
      </c>
      <c r="F67" s="41" t="s">
        <v>30</v>
      </c>
      <c r="G67" s="48" t="s">
        <v>81</v>
      </c>
      <c r="H67" s="47" t="s">
        <v>105</v>
      </c>
      <c r="I67" s="43">
        <v>10</v>
      </c>
      <c r="J67" s="44">
        <v>66</v>
      </c>
      <c r="K67" s="44">
        <v>60</v>
      </c>
      <c r="L67" s="63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7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7"/>
      <c r="AO67" s="56"/>
      <c r="AP67" s="56"/>
      <c r="AQ67" s="65"/>
      <c r="AR67" s="54">
        <f t="shared" ref="AR67:AR98" si="15">SUM(M67:AP67)</f>
        <v>0</v>
      </c>
      <c r="AS67" s="45">
        <f t="shared" ref="AS67:AS98" si="16">(AR67*J67*K67)/1000000</f>
        <v>0</v>
      </c>
      <c r="AT67" s="46" t="e">
        <f t="shared" ref="AT67:AT98" si="17">AS67/L67</f>
        <v>#DIV/0!</v>
      </c>
      <c r="AU67" s="45">
        <f t="shared" ref="AU67:AU98" si="18">L67-AS67</f>
        <v>0</v>
      </c>
    </row>
    <row r="68" spans="1:47" ht="14.25" customHeight="1">
      <c r="A68" s="39" t="str">
        <f t="shared" si="13"/>
        <v>RATTAN OIL MILLSROZ23739</v>
      </c>
      <c r="B68" s="39" t="s">
        <v>103</v>
      </c>
      <c r="C68" s="39" t="str">
        <f t="shared" si="14"/>
        <v>RTROZ23739</v>
      </c>
      <c r="D68" s="39" t="s">
        <v>16</v>
      </c>
      <c r="E68" s="39" t="s">
        <v>15</v>
      </c>
      <c r="F68" s="41" t="s">
        <v>30</v>
      </c>
      <c r="G68" s="48" t="s">
        <v>63</v>
      </c>
      <c r="H68" s="49" t="s">
        <v>106</v>
      </c>
      <c r="I68" s="43">
        <v>5</v>
      </c>
      <c r="J68" s="44">
        <v>33</v>
      </c>
      <c r="K68" s="44">
        <v>144</v>
      </c>
      <c r="L68" s="63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7"/>
      <c r="AC68" s="57"/>
      <c r="AD68" s="57"/>
      <c r="AE68" s="56"/>
      <c r="AF68" s="56"/>
      <c r="AG68" s="56"/>
      <c r="AH68" s="56"/>
      <c r="AI68" s="56"/>
      <c r="AJ68" s="56"/>
      <c r="AK68" s="56"/>
      <c r="AL68" s="56"/>
      <c r="AM68" s="56"/>
      <c r="AN68" s="57"/>
      <c r="AO68" s="56"/>
      <c r="AP68" s="56"/>
      <c r="AQ68" s="65"/>
      <c r="AR68" s="54">
        <f t="shared" si="15"/>
        <v>0</v>
      </c>
      <c r="AS68" s="45">
        <f t="shared" si="16"/>
        <v>0</v>
      </c>
      <c r="AT68" s="46" t="e">
        <f t="shared" si="17"/>
        <v>#DIV/0!</v>
      </c>
      <c r="AU68" s="45">
        <f t="shared" si="18"/>
        <v>0</v>
      </c>
    </row>
    <row r="69" spans="1:47" ht="14.25" customHeight="1">
      <c r="A69" s="39" t="str">
        <f t="shared" si="13"/>
        <v>RATTAN OIL MILLSROZ36956</v>
      </c>
      <c r="B69" s="39" t="s">
        <v>103</v>
      </c>
      <c r="C69" s="39" t="str">
        <f t="shared" si="14"/>
        <v>RTROZ36956</v>
      </c>
      <c r="D69" s="39" t="s">
        <v>16</v>
      </c>
      <c r="E69" s="39" t="s">
        <v>15</v>
      </c>
      <c r="F69" s="41" t="s">
        <v>30</v>
      </c>
      <c r="G69" s="48" t="s">
        <v>79</v>
      </c>
      <c r="H69" s="42" t="s">
        <v>107</v>
      </c>
      <c r="I69" s="43">
        <v>10</v>
      </c>
      <c r="J69" s="44">
        <v>66</v>
      </c>
      <c r="K69" s="44">
        <v>60</v>
      </c>
      <c r="L69" s="63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7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7"/>
      <c r="AO69" s="56"/>
      <c r="AP69" s="56"/>
      <c r="AQ69" s="65"/>
      <c r="AR69" s="54">
        <f t="shared" si="15"/>
        <v>0</v>
      </c>
      <c r="AS69" s="45">
        <f t="shared" si="16"/>
        <v>0</v>
      </c>
      <c r="AT69" s="46" t="e">
        <f t="shared" si="17"/>
        <v>#DIV/0!</v>
      </c>
      <c r="AU69" s="45">
        <f t="shared" si="18"/>
        <v>0</v>
      </c>
    </row>
    <row r="70" spans="1:47" ht="14.25" customHeight="1">
      <c r="A70" s="39" t="str">
        <f t="shared" si="13"/>
        <v>RATTAN OIL MILLSROZ23738</v>
      </c>
      <c r="B70" s="39" t="s">
        <v>103</v>
      </c>
      <c r="C70" s="39" t="str">
        <f t="shared" si="14"/>
        <v>RTROZ23738</v>
      </c>
      <c r="D70" s="39" t="s">
        <v>16</v>
      </c>
      <c r="E70" s="39" t="s">
        <v>15</v>
      </c>
      <c r="F70" s="41" t="s">
        <v>30</v>
      </c>
      <c r="G70" s="48" t="s">
        <v>65</v>
      </c>
      <c r="H70" s="49" t="s">
        <v>108</v>
      </c>
      <c r="I70" s="43">
        <v>5</v>
      </c>
      <c r="J70" s="44">
        <v>33</v>
      </c>
      <c r="K70" s="44">
        <v>144</v>
      </c>
      <c r="L70" s="63"/>
      <c r="M70" s="56"/>
      <c r="N70" s="56"/>
      <c r="O70" s="56"/>
      <c r="P70" s="56"/>
      <c r="Q70" s="57"/>
      <c r="R70" s="56"/>
      <c r="S70" s="57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7"/>
      <c r="AK70" s="56"/>
      <c r="AL70" s="57"/>
      <c r="AM70" s="56"/>
      <c r="AN70" s="56"/>
      <c r="AO70" s="56"/>
      <c r="AP70" s="56"/>
      <c r="AQ70" s="65"/>
      <c r="AR70" s="54">
        <f t="shared" si="15"/>
        <v>0</v>
      </c>
      <c r="AS70" s="45">
        <f t="shared" si="16"/>
        <v>0</v>
      </c>
      <c r="AT70" s="46" t="e">
        <f t="shared" si="17"/>
        <v>#DIV/0!</v>
      </c>
      <c r="AU70" s="45">
        <f t="shared" si="18"/>
        <v>0</v>
      </c>
    </row>
    <row r="71" spans="1:47" ht="14.25" customHeight="1">
      <c r="A71" s="39" t="str">
        <f t="shared" si="13"/>
        <v>RATTAN OIL MILLSROZ36955</v>
      </c>
      <c r="B71" s="39" t="s">
        <v>103</v>
      </c>
      <c r="C71" s="39" t="str">
        <f t="shared" si="14"/>
        <v>RTROZ36955</v>
      </c>
      <c r="D71" s="39" t="s">
        <v>16</v>
      </c>
      <c r="E71" s="39" t="s">
        <v>15</v>
      </c>
      <c r="F71" s="41" t="s">
        <v>30</v>
      </c>
      <c r="G71" s="48" t="s">
        <v>77</v>
      </c>
      <c r="H71" s="42" t="s">
        <v>109</v>
      </c>
      <c r="I71" s="43">
        <v>10</v>
      </c>
      <c r="J71" s="44">
        <v>66</v>
      </c>
      <c r="K71" s="44">
        <v>60</v>
      </c>
      <c r="L71" s="63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7"/>
      <c r="AK71" s="57"/>
      <c r="AL71" s="57"/>
      <c r="AM71" s="56"/>
      <c r="AN71" s="56"/>
      <c r="AO71" s="56"/>
      <c r="AP71" s="56"/>
      <c r="AQ71" s="65"/>
      <c r="AR71" s="54">
        <f t="shared" si="15"/>
        <v>0</v>
      </c>
      <c r="AS71" s="45">
        <f t="shared" si="16"/>
        <v>0</v>
      </c>
      <c r="AT71" s="46" t="e">
        <f t="shared" si="17"/>
        <v>#DIV/0!</v>
      </c>
      <c r="AU71" s="45">
        <f t="shared" si="18"/>
        <v>0</v>
      </c>
    </row>
    <row r="72" spans="1:47" ht="14.25" customHeight="1">
      <c r="A72" s="39" t="str">
        <f t="shared" si="13"/>
        <v>RATTAN OIL MILLSROZ23743</v>
      </c>
      <c r="B72" s="39" t="s">
        <v>103</v>
      </c>
      <c r="C72" s="39" t="str">
        <f t="shared" si="14"/>
        <v>RTROZ23743</v>
      </c>
      <c r="D72" s="39" t="s">
        <v>16</v>
      </c>
      <c r="E72" s="39" t="s">
        <v>15</v>
      </c>
      <c r="F72" s="41" t="s">
        <v>30</v>
      </c>
      <c r="G72" s="48" t="s">
        <v>67</v>
      </c>
      <c r="H72" s="42" t="s">
        <v>110</v>
      </c>
      <c r="I72" s="43">
        <v>5</v>
      </c>
      <c r="J72" s="44">
        <v>30</v>
      </c>
      <c r="K72" s="44">
        <v>144</v>
      </c>
      <c r="L72" s="63"/>
      <c r="M72" s="57"/>
      <c r="N72" s="57"/>
      <c r="O72" s="57"/>
      <c r="P72" s="56"/>
      <c r="Q72" s="56"/>
      <c r="R72" s="56"/>
      <c r="S72" s="56"/>
      <c r="T72" s="56"/>
      <c r="U72" s="56"/>
      <c r="V72" s="56"/>
      <c r="W72" s="56"/>
      <c r="X72" s="56"/>
      <c r="Y72" s="57"/>
      <c r="Z72" s="56"/>
      <c r="AA72" s="57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65"/>
      <c r="AR72" s="54">
        <f t="shared" si="15"/>
        <v>0</v>
      </c>
      <c r="AS72" s="45">
        <f t="shared" si="16"/>
        <v>0</v>
      </c>
      <c r="AT72" s="46" t="e">
        <f t="shared" si="17"/>
        <v>#DIV/0!</v>
      </c>
      <c r="AU72" s="45">
        <f t="shared" si="18"/>
        <v>0</v>
      </c>
    </row>
    <row r="73" spans="1:47" ht="14.25" customHeight="1">
      <c r="A73" s="39" t="str">
        <f t="shared" si="13"/>
        <v>RATTAN OIL MILLSROZ36958</v>
      </c>
      <c r="B73" s="39" t="s">
        <v>103</v>
      </c>
      <c r="C73" s="39" t="str">
        <f t="shared" si="14"/>
        <v>RTROZ36958</v>
      </c>
      <c r="D73" s="39" t="s">
        <v>16</v>
      </c>
      <c r="E73" s="39" t="s">
        <v>15</v>
      </c>
      <c r="F73" s="41" t="s">
        <v>30</v>
      </c>
      <c r="G73" s="48" t="s">
        <v>87</v>
      </c>
      <c r="H73" s="42" t="s">
        <v>111</v>
      </c>
      <c r="I73" s="43">
        <v>10</v>
      </c>
      <c r="J73" s="44">
        <v>60</v>
      </c>
      <c r="K73" s="44">
        <v>60</v>
      </c>
      <c r="L73" s="63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7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65"/>
      <c r="AR73" s="54">
        <f t="shared" si="15"/>
        <v>0</v>
      </c>
      <c r="AS73" s="45">
        <f t="shared" si="16"/>
        <v>0</v>
      </c>
      <c r="AT73" s="46" t="e">
        <f t="shared" si="17"/>
        <v>#DIV/0!</v>
      </c>
      <c r="AU73" s="45">
        <f t="shared" si="18"/>
        <v>0</v>
      </c>
    </row>
    <row r="74" spans="1:47" ht="14.25" customHeight="1">
      <c r="A74" s="39" t="str">
        <f t="shared" si="13"/>
        <v>RATTAN OIL MILLSROZ36954</v>
      </c>
      <c r="B74" s="39" t="s">
        <v>103</v>
      </c>
      <c r="C74" s="39" t="str">
        <f t="shared" si="14"/>
        <v>RTROZ36954</v>
      </c>
      <c r="D74" s="39" t="s">
        <v>16</v>
      </c>
      <c r="E74" s="39" t="s">
        <v>15</v>
      </c>
      <c r="F74" s="41" t="s">
        <v>30</v>
      </c>
      <c r="G74" s="48" t="s">
        <v>75</v>
      </c>
      <c r="H74" s="42" t="s">
        <v>112</v>
      </c>
      <c r="I74" s="43">
        <v>5</v>
      </c>
      <c r="J74" s="44">
        <v>29</v>
      </c>
      <c r="K74" s="44">
        <v>144</v>
      </c>
      <c r="L74" s="63"/>
      <c r="M74" s="57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7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7"/>
      <c r="AM74" s="57"/>
      <c r="AN74" s="56"/>
      <c r="AO74" s="56"/>
      <c r="AP74" s="56"/>
      <c r="AQ74" s="65"/>
      <c r="AR74" s="54">
        <f t="shared" si="15"/>
        <v>0</v>
      </c>
      <c r="AS74" s="45">
        <f t="shared" si="16"/>
        <v>0</v>
      </c>
      <c r="AT74" s="46" t="e">
        <f t="shared" si="17"/>
        <v>#DIV/0!</v>
      </c>
      <c r="AU74" s="45">
        <f t="shared" si="18"/>
        <v>0</v>
      </c>
    </row>
    <row r="75" spans="1:47" ht="14.25" customHeight="1">
      <c r="A75" s="39" t="str">
        <f t="shared" si="13"/>
        <v>RATTAN OIL MILLSROZ36960</v>
      </c>
      <c r="B75" s="39" t="s">
        <v>103</v>
      </c>
      <c r="C75" s="39" t="str">
        <f t="shared" si="14"/>
        <v>RTROZ36960</v>
      </c>
      <c r="D75" s="39" t="s">
        <v>16</v>
      </c>
      <c r="E75" s="39" t="s">
        <v>15</v>
      </c>
      <c r="F75" s="41" t="s">
        <v>30</v>
      </c>
      <c r="G75" s="48" t="s">
        <v>93</v>
      </c>
      <c r="H75" s="42" t="s">
        <v>113</v>
      </c>
      <c r="I75" s="43">
        <v>10</v>
      </c>
      <c r="J75" s="44">
        <v>58</v>
      </c>
      <c r="K75" s="44">
        <v>60</v>
      </c>
      <c r="L75" s="63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7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65"/>
      <c r="AR75" s="54">
        <f t="shared" si="15"/>
        <v>0</v>
      </c>
      <c r="AS75" s="45">
        <f t="shared" si="16"/>
        <v>0</v>
      </c>
      <c r="AT75" s="46" t="e">
        <f t="shared" si="17"/>
        <v>#DIV/0!</v>
      </c>
      <c r="AU75" s="45">
        <f t="shared" si="18"/>
        <v>0</v>
      </c>
    </row>
    <row r="76" spans="1:47" ht="14.25" customHeight="1">
      <c r="A76" s="39" t="str">
        <f t="shared" si="13"/>
        <v>RATTAN OIL MILLSROZ39494</v>
      </c>
      <c r="B76" s="39" t="s">
        <v>103</v>
      </c>
      <c r="C76" s="39" t="str">
        <f t="shared" si="14"/>
        <v>RTROZ39494</v>
      </c>
      <c r="D76" s="39" t="s">
        <v>16</v>
      </c>
      <c r="E76" s="39" t="s">
        <v>15</v>
      </c>
      <c r="F76" s="41" t="s">
        <v>30</v>
      </c>
      <c r="G76" s="41" t="s">
        <v>61</v>
      </c>
      <c r="H76" s="42" t="s">
        <v>62</v>
      </c>
      <c r="I76" s="43">
        <v>5</v>
      </c>
      <c r="J76" s="44">
        <v>35</v>
      </c>
      <c r="K76" s="44">
        <v>144</v>
      </c>
      <c r="L76" s="63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7"/>
      <c r="AH76" s="57"/>
      <c r="AI76" s="57"/>
      <c r="AJ76" s="57"/>
      <c r="AK76" s="56"/>
      <c r="AL76" s="56"/>
      <c r="AM76" s="56"/>
      <c r="AN76" s="56"/>
      <c r="AO76" s="56"/>
      <c r="AP76" s="56"/>
      <c r="AQ76" s="65"/>
      <c r="AR76" s="54">
        <f t="shared" si="15"/>
        <v>0</v>
      </c>
      <c r="AS76" s="45">
        <f t="shared" si="16"/>
        <v>0</v>
      </c>
      <c r="AT76" s="46" t="e">
        <f t="shared" si="17"/>
        <v>#DIV/0!</v>
      </c>
      <c r="AU76" s="45">
        <f t="shared" si="18"/>
        <v>0</v>
      </c>
    </row>
    <row r="77" spans="1:47" ht="14.25" customHeight="1">
      <c r="A77" s="39" t="str">
        <f t="shared" si="13"/>
        <v>RATTAN OIL MILLSROZ39495</v>
      </c>
      <c r="B77" s="39" t="s">
        <v>103</v>
      </c>
      <c r="C77" s="39" t="str">
        <f t="shared" si="14"/>
        <v>RTROZ39495</v>
      </c>
      <c r="D77" s="39" t="s">
        <v>16</v>
      </c>
      <c r="E77" s="39" t="s">
        <v>15</v>
      </c>
      <c r="F77" s="41" t="s">
        <v>30</v>
      </c>
      <c r="G77" s="41" t="s">
        <v>83</v>
      </c>
      <c r="H77" s="42" t="s">
        <v>84</v>
      </c>
      <c r="I77" s="43">
        <v>10</v>
      </c>
      <c r="J77" s="44">
        <v>70</v>
      </c>
      <c r="K77" s="44">
        <v>72</v>
      </c>
      <c r="L77" s="63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65"/>
      <c r="AR77" s="54">
        <f t="shared" si="15"/>
        <v>0</v>
      </c>
      <c r="AS77" s="45">
        <f t="shared" si="16"/>
        <v>0</v>
      </c>
      <c r="AT77" s="46" t="e">
        <f t="shared" si="17"/>
        <v>#DIV/0!</v>
      </c>
      <c r="AU77" s="45">
        <f t="shared" si="18"/>
        <v>0</v>
      </c>
    </row>
    <row r="78" spans="1:47" ht="14.25" customHeight="1">
      <c r="A78" s="39" t="str">
        <f t="shared" si="13"/>
        <v>RATTAN OIL MILLSROZ23740</v>
      </c>
      <c r="B78" s="39" t="s">
        <v>103</v>
      </c>
      <c r="C78" s="39" t="str">
        <f t="shared" si="14"/>
        <v>RTROZ23740</v>
      </c>
      <c r="D78" s="39" t="s">
        <v>16</v>
      </c>
      <c r="E78" s="39" t="s">
        <v>15</v>
      </c>
      <c r="F78" s="41" t="s">
        <v>30</v>
      </c>
      <c r="G78" s="41" t="s">
        <v>69</v>
      </c>
      <c r="H78" s="42" t="s">
        <v>70</v>
      </c>
      <c r="I78" s="43">
        <v>5</v>
      </c>
      <c r="J78" s="44">
        <v>35</v>
      </c>
      <c r="K78" s="44">
        <v>144</v>
      </c>
      <c r="L78" s="63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7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65"/>
      <c r="AR78" s="54">
        <f t="shared" si="15"/>
        <v>0</v>
      </c>
      <c r="AS78" s="45">
        <f t="shared" si="16"/>
        <v>0</v>
      </c>
      <c r="AT78" s="46" t="e">
        <f t="shared" si="17"/>
        <v>#DIV/0!</v>
      </c>
      <c r="AU78" s="45">
        <f t="shared" si="18"/>
        <v>0</v>
      </c>
    </row>
    <row r="79" spans="1:47" ht="14.25" customHeight="1">
      <c r="A79" s="39" t="str">
        <f t="shared" si="13"/>
        <v>RATTAN OIL MILLSROZ23742</v>
      </c>
      <c r="B79" s="39" t="s">
        <v>103</v>
      </c>
      <c r="C79" s="39" t="str">
        <f t="shared" si="14"/>
        <v>RTROZ23742</v>
      </c>
      <c r="D79" s="39" t="s">
        <v>16</v>
      </c>
      <c r="E79" s="39" t="s">
        <v>15</v>
      </c>
      <c r="F79" s="41" t="s">
        <v>30</v>
      </c>
      <c r="G79" s="41" t="s">
        <v>73</v>
      </c>
      <c r="H79" s="42" t="s">
        <v>74</v>
      </c>
      <c r="I79" s="43">
        <v>5</v>
      </c>
      <c r="J79" s="44">
        <v>32</v>
      </c>
      <c r="K79" s="44">
        <v>144</v>
      </c>
      <c r="L79" s="61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65"/>
      <c r="AR79" s="54">
        <f t="shared" si="15"/>
        <v>0</v>
      </c>
      <c r="AS79" s="45">
        <f t="shared" si="16"/>
        <v>0</v>
      </c>
      <c r="AT79" s="46" t="e">
        <f t="shared" si="17"/>
        <v>#DIV/0!</v>
      </c>
      <c r="AU79" s="45">
        <f t="shared" si="18"/>
        <v>0</v>
      </c>
    </row>
    <row r="80" spans="1:47" ht="14.25" customHeight="1">
      <c r="A80" s="39" t="str">
        <f t="shared" si="13"/>
        <v>RATTAN OIL MILLSROZ36959</v>
      </c>
      <c r="B80" s="39" t="s">
        <v>103</v>
      </c>
      <c r="C80" s="39" t="str">
        <f t="shared" si="14"/>
        <v>RTROZ36959</v>
      </c>
      <c r="D80" s="39" t="s">
        <v>16</v>
      </c>
      <c r="E80" s="39" t="s">
        <v>15</v>
      </c>
      <c r="F80" s="41" t="s">
        <v>30</v>
      </c>
      <c r="G80" s="41" t="s">
        <v>85</v>
      </c>
      <c r="H80" s="42" t="s">
        <v>86</v>
      </c>
      <c r="I80" s="43">
        <v>10</v>
      </c>
      <c r="J80" s="44">
        <v>65</v>
      </c>
      <c r="K80" s="44">
        <v>60</v>
      </c>
      <c r="L80" s="61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65"/>
      <c r="AR80" s="54">
        <f t="shared" si="15"/>
        <v>0</v>
      </c>
      <c r="AS80" s="45">
        <f t="shared" si="16"/>
        <v>0</v>
      </c>
      <c r="AT80" s="46" t="e">
        <f t="shared" si="17"/>
        <v>#DIV/0!</v>
      </c>
      <c r="AU80" s="45">
        <f t="shared" si="18"/>
        <v>0</v>
      </c>
    </row>
    <row r="81" spans="1:47" ht="14.25" customHeight="1">
      <c r="A81" s="39" t="str">
        <f t="shared" si="13"/>
        <v>RATTAN OIL MILLSROZ36962</v>
      </c>
      <c r="B81" s="39" t="s">
        <v>103</v>
      </c>
      <c r="C81" s="39" t="str">
        <f t="shared" si="14"/>
        <v>RTROZ36962</v>
      </c>
      <c r="D81" s="39" t="s">
        <v>16</v>
      </c>
      <c r="E81" s="39" t="s">
        <v>15</v>
      </c>
      <c r="F81" s="41" t="s">
        <v>30</v>
      </c>
      <c r="G81" s="41" t="s">
        <v>89</v>
      </c>
      <c r="H81" s="40" t="s">
        <v>90</v>
      </c>
      <c r="I81" s="43">
        <v>10</v>
      </c>
      <c r="J81" s="44">
        <v>75</v>
      </c>
      <c r="K81" s="44">
        <v>72</v>
      </c>
      <c r="L81" s="61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65"/>
      <c r="AR81" s="54">
        <f t="shared" si="15"/>
        <v>0</v>
      </c>
      <c r="AS81" s="45">
        <f t="shared" si="16"/>
        <v>0</v>
      </c>
      <c r="AT81" s="46" t="e">
        <f t="shared" si="17"/>
        <v>#DIV/0!</v>
      </c>
      <c r="AU81" s="45">
        <f t="shared" si="18"/>
        <v>0</v>
      </c>
    </row>
    <row r="82" spans="1:47" ht="14.25" customHeight="1">
      <c r="A82" s="39" t="str">
        <f t="shared" si="13"/>
        <v>RATTAN OIL MILLSROZ36961</v>
      </c>
      <c r="B82" s="50" t="s">
        <v>103</v>
      </c>
      <c r="C82" s="39" t="str">
        <f t="shared" si="14"/>
        <v>RTROZ36961</v>
      </c>
      <c r="D82" s="39" t="s">
        <v>16</v>
      </c>
      <c r="E82" s="39" t="s">
        <v>15</v>
      </c>
      <c r="F82" s="41" t="s">
        <v>30</v>
      </c>
      <c r="G82" s="41" t="s">
        <v>91</v>
      </c>
      <c r="H82" s="42" t="s">
        <v>92</v>
      </c>
      <c r="I82" s="43">
        <v>10</v>
      </c>
      <c r="J82" s="44">
        <v>65</v>
      </c>
      <c r="K82" s="44">
        <v>72</v>
      </c>
      <c r="L82" s="61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65"/>
      <c r="AR82" s="54">
        <f t="shared" si="15"/>
        <v>0</v>
      </c>
      <c r="AS82" s="45">
        <f t="shared" si="16"/>
        <v>0</v>
      </c>
      <c r="AT82" s="46" t="e">
        <f t="shared" si="17"/>
        <v>#DIV/0!</v>
      </c>
      <c r="AU82" s="45">
        <f t="shared" si="18"/>
        <v>0</v>
      </c>
    </row>
    <row r="83" spans="1:47" ht="14.25" customHeight="1">
      <c r="A83" s="39" t="str">
        <f t="shared" si="13"/>
        <v>RATTAN OIL MILLSROZ46762</v>
      </c>
      <c r="B83" s="39" t="s">
        <v>103</v>
      </c>
      <c r="C83" s="39" t="str">
        <f t="shared" si="14"/>
        <v>RTROZ46762</v>
      </c>
      <c r="D83" s="39" t="s">
        <v>16</v>
      </c>
      <c r="E83" s="39" t="s">
        <v>15</v>
      </c>
      <c r="F83" s="41" t="s">
        <v>30</v>
      </c>
      <c r="G83" s="51" t="s">
        <v>114</v>
      </c>
      <c r="H83" s="39" t="s">
        <v>115</v>
      </c>
      <c r="I83" s="43">
        <v>10</v>
      </c>
      <c r="J83" s="44">
        <v>60</v>
      </c>
      <c r="K83" s="44">
        <v>72</v>
      </c>
      <c r="L83" s="61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65"/>
      <c r="AR83" s="54">
        <f t="shared" si="15"/>
        <v>0</v>
      </c>
      <c r="AS83" s="45">
        <f t="shared" si="16"/>
        <v>0</v>
      </c>
      <c r="AT83" s="46" t="e">
        <f t="shared" si="17"/>
        <v>#DIV/0!</v>
      </c>
      <c r="AU83" s="45">
        <f t="shared" si="18"/>
        <v>0</v>
      </c>
    </row>
    <row r="84" spans="1:47" ht="14.25" customHeight="1">
      <c r="A84" s="39" t="str">
        <f t="shared" si="13"/>
        <v>RATTAN OIL MILLSROZ50019</v>
      </c>
      <c r="B84" s="39" t="s">
        <v>103</v>
      </c>
      <c r="C84" s="39" t="str">
        <f t="shared" si="14"/>
        <v>RTROZ50019</v>
      </c>
      <c r="D84" s="39" t="s">
        <v>16</v>
      </c>
      <c r="E84" s="39" t="s">
        <v>15</v>
      </c>
      <c r="F84" s="41" t="s">
        <v>30</v>
      </c>
      <c r="G84" s="39" t="s">
        <v>116</v>
      </c>
      <c r="H84" s="47" t="s">
        <v>117</v>
      </c>
      <c r="I84" s="43">
        <v>10</v>
      </c>
      <c r="J84" s="44">
        <v>60</v>
      </c>
      <c r="K84" s="44">
        <v>72</v>
      </c>
      <c r="L84" s="61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7"/>
      <c r="AE84" s="57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65"/>
      <c r="AR84" s="54">
        <f t="shared" si="15"/>
        <v>0</v>
      </c>
      <c r="AS84" s="45">
        <f t="shared" si="16"/>
        <v>0</v>
      </c>
      <c r="AT84" s="46" t="e">
        <f t="shared" si="17"/>
        <v>#DIV/0!</v>
      </c>
      <c r="AU84" s="45">
        <f t="shared" si="18"/>
        <v>0</v>
      </c>
    </row>
    <row r="85" spans="1:47" ht="14.25" customHeight="1">
      <c r="A85" s="39" t="str">
        <f t="shared" si="13"/>
        <v>RATTAN OIL MILLSROZ50020</v>
      </c>
      <c r="B85" s="39" t="s">
        <v>103</v>
      </c>
      <c r="C85" s="39" t="str">
        <f t="shared" si="14"/>
        <v>RTROZ50020</v>
      </c>
      <c r="D85" s="39" t="s">
        <v>16</v>
      </c>
      <c r="E85" s="39" t="s">
        <v>15</v>
      </c>
      <c r="F85" s="41" t="s">
        <v>30</v>
      </c>
      <c r="G85" s="39" t="s">
        <v>99</v>
      </c>
      <c r="H85" s="39" t="s">
        <v>100</v>
      </c>
      <c r="I85" s="43">
        <v>5</v>
      </c>
      <c r="J85" s="44">
        <v>35</v>
      </c>
      <c r="K85" s="44">
        <v>144</v>
      </c>
      <c r="L85" s="61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65"/>
      <c r="AR85" s="54">
        <f t="shared" si="15"/>
        <v>0</v>
      </c>
      <c r="AS85" s="45">
        <f t="shared" si="16"/>
        <v>0</v>
      </c>
      <c r="AT85" s="46" t="e">
        <f t="shared" si="17"/>
        <v>#DIV/0!</v>
      </c>
      <c r="AU85" s="45">
        <f t="shared" si="18"/>
        <v>0</v>
      </c>
    </row>
    <row r="86" spans="1:47" ht="14.25" customHeight="1">
      <c r="A86" s="39" t="str">
        <f t="shared" si="13"/>
        <v>RATTAN OIL MILLS1</v>
      </c>
      <c r="B86" s="39" t="s">
        <v>103</v>
      </c>
      <c r="C86" s="39" t="str">
        <f t="shared" si="14"/>
        <v>RT1</v>
      </c>
      <c r="D86" s="39" t="s">
        <v>16</v>
      </c>
      <c r="E86" s="39" t="s">
        <v>15</v>
      </c>
      <c r="F86" s="41" t="s">
        <v>30</v>
      </c>
      <c r="G86" s="39">
        <v>1</v>
      </c>
      <c r="H86" s="47" t="s">
        <v>101</v>
      </c>
      <c r="I86" s="39">
        <v>30</v>
      </c>
      <c r="J86" s="39">
        <v>140</v>
      </c>
      <c r="K86" s="39">
        <v>40</v>
      </c>
      <c r="L86" s="61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65"/>
      <c r="AR86" s="54">
        <f t="shared" si="15"/>
        <v>0</v>
      </c>
      <c r="AS86" s="45">
        <f t="shared" si="16"/>
        <v>0</v>
      </c>
      <c r="AT86" s="46" t="e">
        <f t="shared" si="17"/>
        <v>#DIV/0!</v>
      </c>
      <c r="AU86" s="45">
        <f t="shared" si="18"/>
        <v>0</v>
      </c>
    </row>
    <row r="87" spans="1:47" ht="14.25" customHeight="1">
      <c r="A87" s="39" t="str">
        <f t="shared" si="13"/>
        <v>Meera BakerROZ23760</v>
      </c>
      <c r="B87" s="39" t="s">
        <v>118</v>
      </c>
      <c r="C87" s="39" t="str">
        <f t="shared" si="14"/>
        <v>MBROZ23760</v>
      </c>
      <c r="D87" s="52" t="s">
        <v>18</v>
      </c>
      <c r="E87" s="53" t="s">
        <v>17</v>
      </c>
      <c r="F87" s="41" t="s">
        <v>31</v>
      </c>
      <c r="G87" s="39" t="s">
        <v>95</v>
      </c>
      <c r="H87" s="47" t="s">
        <v>96</v>
      </c>
      <c r="I87" s="43">
        <v>20</v>
      </c>
      <c r="J87" s="44">
        <v>130</v>
      </c>
      <c r="K87" s="44">
        <v>24</v>
      </c>
      <c r="L87" s="61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65"/>
      <c r="AR87" s="54">
        <f t="shared" si="15"/>
        <v>0</v>
      </c>
      <c r="AS87" s="45">
        <f t="shared" si="16"/>
        <v>0</v>
      </c>
      <c r="AT87" s="46" t="e">
        <f t="shared" si="17"/>
        <v>#DIV/0!</v>
      </c>
      <c r="AU87" s="45">
        <f t="shared" si="18"/>
        <v>0</v>
      </c>
    </row>
    <row r="88" spans="1:47" ht="14.25" customHeight="1">
      <c r="A88" s="39" t="str">
        <f t="shared" si="13"/>
        <v>Meera BakerROZ23759</v>
      </c>
      <c r="B88" s="39" t="s">
        <v>118</v>
      </c>
      <c r="C88" s="39" t="str">
        <f t="shared" si="14"/>
        <v>MBROZ23759</v>
      </c>
      <c r="D88" s="52" t="s">
        <v>18</v>
      </c>
      <c r="E88" s="53" t="s">
        <v>17</v>
      </c>
      <c r="F88" s="41" t="s">
        <v>31</v>
      </c>
      <c r="G88" s="39" t="s">
        <v>97</v>
      </c>
      <c r="H88" s="47" t="s">
        <v>98</v>
      </c>
      <c r="I88" s="43">
        <v>10</v>
      </c>
      <c r="J88" s="44">
        <v>65</v>
      </c>
      <c r="K88" s="44">
        <v>24</v>
      </c>
      <c r="L88" s="61"/>
      <c r="M88" s="56"/>
      <c r="N88" s="57"/>
      <c r="O88" s="56"/>
      <c r="P88" s="56"/>
      <c r="Q88" s="56"/>
      <c r="R88" s="56"/>
      <c r="S88" s="56"/>
      <c r="T88" s="57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7"/>
      <c r="AL88" s="56"/>
      <c r="AM88" s="56"/>
      <c r="AN88" s="56"/>
      <c r="AO88" s="56"/>
      <c r="AP88" s="56"/>
      <c r="AQ88" s="65"/>
      <c r="AR88" s="54">
        <f t="shared" si="15"/>
        <v>0</v>
      </c>
      <c r="AS88" s="45">
        <f t="shared" si="16"/>
        <v>0</v>
      </c>
      <c r="AT88" s="46" t="e">
        <f t="shared" si="17"/>
        <v>#DIV/0!</v>
      </c>
      <c r="AU88" s="45">
        <f t="shared" si="18"/>
        <v>0</v>
      </c>
    </row>
    <row r="89" spans="1:47" ht="14.25" customHeight="1">
      <c r="A89" s="39" t="str">
        <f t="shared" si="13"/>
        <v>DEVARPAN FOODS PRIVATE LIMITEDROZ23760</v>
      </c>
      <c r="B89" s="39" t="s">
        <v>119</v>
      </c>
      <c r="C89" s="39" t="str">
        <f t="shared" si="14"/>
        <v>DPROZ23760</v>
      </c>
      <c r="D89" s="39" t="s">
        <v>20</v>
      </c>
      <c r="E89" s="39" t="s">
        <v>19</v>
      </c>
      <c r="F89" s="41" t="s">
        <v>31</v>
      </c>
      <c r="G89" s="39" t="s">
        <v>95</v>
      </c>
      <c r="H89" s="39" t="s">
        <v>96</v>
      </c>
      <c r="I89" s="43">
        <v>20</v>
      </c>
      <c r="J89" s="44">
        <v>130</v>
      </c>
      <c r="K89" s="44">
        <v>24</v>
      </c>
      <c r="L89" s="61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65"/>
      <c r="AR89" s="54">
        <f t="shared" si="15"/>
        <v>0</v>
      </c>
      <c r="AS89" s="45">
        <f t="shared" si="16"/>
        <v>0</v>
      </c>
      <c r="AT89" s="46" t="e">
        <f t="shared" si="17"/>
        <v>#DIV/0!</v>
      </c>
      <c r="AU89" s="45">
        <f t="shared" si="18"/>
        <v>0</v>
      </c>
    </row>
    <row r="90" spans="1:47" ht="14.25" customHeight="1">
      <c r="A90" s="39" t="str">
        <f t="shared" si="13"/>
        <v>DEVARPAN FOODS PRIVATE LIMITEDROZ23759</v>
      </c>
      <c r="B90" s="39" t="s">
        <v>119</v>
      </c>
      <c r="C90" s="39" t="str">
        <f t="shared" si="14"/>
        <v>DPROZ23759</v>
      </c>
      <c r="D90" s="39" t="s">
        <v>20</v>
      </c>
      <c r="E90" s="39" t="s">
        <v>19</v>
      </c>
      <c r="F90" s="41" t="s">
        <v>31</v>
      </c>
      <c r="G90" s="39" t="s">
        <v>97</v>
      </c>
      <c r="H90" s="39" t="s">
        <v>98</v>
      </c>
      <c r="I90" s="43">
        <v>10</v>
      </c>
      <c r="J90" s="44">
        <v>65</v>
      </c>
      <c r="K90" s="44">
        <v>24</v>
      </c>
      <c r="L90" s="61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65"/>
      <c r="AR90" s="54">
        <f t="shared" si="15"/>
        <v>0</v>
      </c>
      <c r="AS90" s="45">
        <f t="shared" si="16"/>
        <v>0</v>
      </c>
      <c r="AT90" s="46" t="e">
        <f t="shared" si="17"/>
        <v>#DIV/0!</v>
      </c>
      <c r="AU90" s="45">
        <f t="shared" si="18"/>
        <v>0</v>
      </c>
    </row>
    <row r="91" spans="1:47" ht="14.25" customHeight="1">
      <c r="A91" s="39" t="str">
        <f t="shared" si="13"/>
        <v>SaharnpurROZ23760</v>
      </c>
      <c r="B91" s="39" t="s">
        <v>120</v>
      </c>
      <c r="C91" s="39" t="str">
        <f t="shared" si="14"/>
        <v>SHROZ23760</v>
      </c>
      <c r="D91" s="39" t="s">
        <v>22</v>
      </c>
      <c r="E91" s="39" t="s">
        <v>21</v>
      </c>
      <c r="F91" s="41" t="s">
        <v>31</v>
      </c>
      <c r="G91" s="39" t="s">
        <v>95</v>
      </c>
      <c r="H91" s="39" t="s">
        <v>96</v>
      </c>
      <c r="I91" s="43">
        <v>20</v>
      </c>
      <c r="J91" s="39">
        <v>130</v>
      </c>
      <c r="K91" s="44">
        <v>36</v>
      </c>
      <c r="L91" s="61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65"/>
      <c r="AR91" s="54">
        <f t="shared" si="15"/>
        <v>0</v>
      </c>
      <c r="AS91" s="45">
        <f t="shared" si="16"/>
        <v>0</v>
      </c>
      <c r="AT91" s="46" t="e">
        <f t="shared" si="17"/>
        <v>#DIV/0!</v>
      </c>
      <c r="AU91" s="45">
        <f t="shared" si="18"/>
        <v>0</v>
      </c>
    </row>
    <row r="92" spans="1:47" ht="14.25" customHeight="1">
      <c r="A92" s="39" t="str">
        <f t="shared" si="13"/>
        <v>SaharnpurROZ23759</v>
      </c>
      <c r="B92" s="39" t="s">
        <v>120</v>
      </c>
      <c r="C92" s="39" t="str">
        <f t="shared" si="14"/>
        <v>SHROZ23759</v>
      </c>
      <c r="D92" s="39" t="s">
        <v>22</v>
      </c>
      <c r="E92" s="39" t="s">
        <v>21</v>
      </c>
      <c r="F92" s="41" t="s">
        <v>31</v>
      </c>
      <c r="G92" s="39" t="s">
        <v>97</v>
      </c>
      <c r="H92" s="39" t="s">
        <v>98</v>
      </c>
      <c r="I92" s="43">
        <v>10</v>
      </c>
      <c r="J92" s="39">
        <v>65</v>
      </c>
      <c r="K92" s="44">
        <v>36</v>
      </c>
      <c r="L92" s="61"/>
      <c r="M92" s="56"/>
      <c r="N92" s="57"/>
      <c r="O92" s="56"/>
      <c r="P92" s="56"/>
      <c r="Q92" s="56"/>
      <c r="R92" s="56"/>
      <c r="S92" s="56"/>
      <c r="T92" s="56"/>
      <c r="U92" s="56"/>
      <c r="V92" s="56"/>
      <c r="W92" s="56"/>
      <c r="X92" s="57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7"/>
      <c r="AK92" s="56"/>
      <c r="AL92" s="56"/>
      <c r="AM92" s="56"/>
      <c r="AN92" s="56"/>
      <c r="AO92" s="56"/>
      <c r="AP92" s="56"/>
      <c r="AQ92" s="65"/>
      <c r="AR92" s="54">
        <f t="shared" si="15"/>
        <v>0</v>
      </c>
      <c r="AS92" s="45">
        <f t="shared" si="16"/>
        <v>0</v>
      </c>
      <c r="AT92" s="46" t="e">
        <f t="shared" si="17"/>
        <v>#DIV/0!</v>
      </c>
      <c r="AU92" s="45">
        <f t="shared" si="18"/>
        <v>0</v>
      </c>
    </row>
    <row r="93" spans="1:47" ht="14.25" customHeight="1">
      <c r="A93" s="39" t="str">
        <f t="shared" si="13"/>
        <v>BHAGWATIROZ39494</v>
      </c>
      <c r="B93" s="39" t="s">
        <v>121</v>
      </c>
      <c r="C93" s="39" t="str">
        <f t="shared" si="14"/>
        <v>BWROZ39494</v>
      </c>
      <c r="D93" s="39" t="s">
        <v>24</v>
      </c>
      <c r="E93" s="39" t="s">
        <v>23</v>
      </c>
      <c r="F93" s="41" t="s">
        <v>30</v>
      </c>
      <c r="G93" s="41" t="s">
        <v>61</v>
      </c>
      <c r="H93" s="42" t="s">
        <v>62</v>
      </c>
      <c r="I93" s="43">
        <v>5</v>
      </c>
      <c r="J93" s="44">
        <v>35</v>
      </c>
      <c r="K93" s="44">
        <v>144</v>
      </c>
      <c r="L93" s="61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65"/>
      <c r="AR93" s="54">
        <f t="shared" si="15"/>
        <v>0</v>
      </c>
      <c r="AS93" s="45">
        <f t="shared" si="16"/>
        <v>0</v>
      </c>
      <c r="AT93" s="46" t="e">
        <f t="shared" si="17"/>
        <v>#DIV/0!</v>
      </c>
      <c r="AU93" s="45">
        <f t="shared" si="18"/>
        <v>0</v>
      </c>
    </row>
    <row r="94" spans="1:47" ht="14.25" customHeight="1">
      <c r="A94" s="39" t="str">
        <f t="shared" si="13"/>
        <v>BHAGWATIROZ23739</v>
      </c>
      <c r="B94" s="39" t="s">
        <v>121</v>
      </c>
      <c r="C94" s="39" t="str">
        <f t="shared" si="14"/>
        <v>BWROZ23739</v>
      </c>
      <c r="D94" s="39" t="s">
        <v>24</v>
      </c>
      <c r="E94" s="39" t="s">
        <v>23</v>
      </c>
      <c r="F94" s="41" t="s">
        <v>30</v>
      </c>
      <c r="G94" s="41" t="s">
        <v>63</v>
      </c>
      <c r="H94" s="42" t="s">
        <v>64</v>
      </c>
      <c r="I94" s="43">
        <v>5</v>
      </c>
      <c r="J94" s="44">
        <v>35</v>
      </c>
      <c r="K94" s="44">
        <v>144</v>
      </c>
      <c r="L94" s="61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65"/>
      <c r="AR94" s="54">
        <f t="shared" si="15"/>
        <v>0</v>
      </c>
      <c r="AS94" s="45">
        <f t="shared" si="16"/>
        <v>0</v>
      </c>
      <c r="AT94" s="46" t="e">
        <f t="shared" si="17"/>
        <v>#DIV/0!</v>
      </c>
      <c r="AU94" s="45">
        <f t="shared" si="18"/>
        <v>0</v>
      </c>
    </row>
    <row r="95" spans="1:47" ht="14.25" customHeight="1">
      <c r="A95" s="39" t="str">
        <f t="shared" si="13"/>
        <v>BHAGWATIROZ23738</v>
      </c>
      <c r="B95" s="39" t="s">
        <v>121</v>
      </c>
      <c r="C95" s="39" t="str">
        <f t="shared" si="14"/>
        <v>BWROZ23738</v>
      </c>
      <c r="D95" s="39" t="s">
        <v>24</v>
      </c>
      <c r="E95" s="39" t="s">
        <v>23</v>
      </c>
      <c r="F95" s="41" t="s">
        <v>30</v>
      </c>
      <c r="G95" s="41" t="s">
        <v>65</v>
      </c>
      <c r="H95" s="42" t="s">
        <v>66</v>
      </c>
      <c r="I95" s="43">
        <v>5</v>
      </c>
      <c r="J95" s="44">
        <v>35</v>
      </c>
      <c r="K95" s="44">
        <v>144</v>
      </c>
      <c r="L95" s="61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65"/>
      <c r="AR95" s="54">
        <f t="shared" si="15"/>
        <v>0</v>
      </c>
      <c r="AS95" s="45">
        <f t="shared" si="16"/>
        <v>0</v>
      </c>
      <c r="AT95" s="46" t="e">
        <f t="shared" si="17"/>
        <v>#DIV/0!</v>
      </c>
      <c r="AU95" s="45">
        <f t="shared" si="18"/>
        <v>0</v>
      </c>
    </row>
    <row r="96" spans="1:47" ht="14.25" customHeight="1">
      <c r="A96" s="39" t="str">
        <f t="shared" si="13"/>
        <v>BHAGWATIROZ23743</v>
      </c>
      <c r="B96" s="39" t="s">
        <v>121</v>
      </c>
      <c r="C96" s="39" t="str">
        <f t="shared" si="14"/>
        <v>BWROZ23743</v>
      </c>
      <c r="D96" s="39" t="s">
        <v>24</v>
      </c>
      <c r="E96" s="39" t="s">
        <v>23</v>
      </c>
      <c r="F96" s="41" t="s">
        <v>30</v>
      </c>
      <c r="G96" s="41" t="s">
        <v>67</v>
      </c>
      <c r="H96" s="42" t="s">
        <v>68</v>
      </c>
      <c r="I96" s="43">
        <v>5</v>
      </c>
      <c r="J96" s="44">
        <v>32</v>
      </c>
      <c r="K96" s="44">
        <v>144</v>
      </c>
      <c r="L96" s="61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65"/>
      <c r="AR96" s="54">
        <f t="shared" si="15"/>
        <v>0</v>
      </c>
      <c r="AS96" s="45">
        <f t="shared" si="16"/>
        <v>0</v>
      </c>
      <c r="AT96" s="46" t="e">
        <f t="shared" si="17"/>
        <v>#DIV/0!</v>
      </c>
      <c r="AU96" s="45">
        <f t="shared" si="18"/>
        <v>0</v>
      </c>
    </row>
    <row r="97" spans="1:47" ht="14.25" customHeight="1">
      <c r="A97" s="39" t="str">
        <f t="shared" si="13"/>
        <v>BHAGWATIROZ23740</v>
      </c>
      <c r="B97" s="39" t="s">
        <v>121</v>
      </c>
      <c r="C97" s="39" t="str">
        <f t="shared" si="14"/>
        <v>BWROZ23740</v>
      </c>
      <c r="D97" s="39" t="s">
        <v>24</v>
      </c>
      <c r="E97" s="39" t="s">
        <v>23</v>
      </c>
      <c r="F97" s="41" t="s">
        <v>30</v>
      </c>
      <c r="G97" s="41" t="s">
        <v>69</v>
      </c>
      <c r="H97" s="42" t="s">
        <v>70</v>
      </c>
      <c r="I97" s="43">
        <v>5</v>
      </c>
      <c r="J97" s="44">
        <v>35</v>
      </c>
      <c r="K97" s="44">
        <v>144</v>
      </c>
      <c r="L97" s="61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65"/>
      <c r="AR97" s="54">
        <f t="shared" si="15"/>
        <v>0</v>
      </c>
      <c r="AS97" s="45">
        <f t="shared" si="16"/>
        <v>0</v>
      </c>
      <c r="AT97" s="46" t="e">
        <f t="shared" si="17"/>
        <v>#DIV/0!</v>
      </c>
      <c r="AU97" s="45">
        <f t="shared" si="18"/>
        <v>0</v>
      </c>
    </row>
    <row r="98" spans="1:47" ht="14.25" customHeight="1">
      <c r="A98" s="39" t="str">
        <f t="shared" si="13"/>
        <v>BHAGWATIROZ23741</v>
      </c>
      <c r="B98" s="39" t="s">
        <v>121</v>
      </c>
      <c r="C98" s="39" t="str">
        <f t="shared" si="14"/>
        <v>BWROZ23741</v>
      </c>
      <c r="D98" s="39" t="s">
        <v>24</v>
      </c>
      <c r="E98" s="39" t="s">
        <v>23</v>
      </c>
      <c r="F98" s="41" t="s">
        <v>30</v>
      </c>
      <c r="G98" s="41" t="s">
        <v>71</v>
      </c>
      <c r="H98" s="42" t="s">
        <v>72</v>
      </c>
      <c r="I98" s="43">
        <v>5</v>
      </c>
      <c r="J98" s="44">
        <v>35</v>
      </c>
      <c r="K98" s="44">
        <v>144</v>
      </c>
      <c r="L98" s="61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65"/>
      <c r="AR98" s="54">
        <f t="shared" si="15"/>
        <v>0</v>
      </c>
      <c r="AS98" s="45">
        <f t="shared" si="16"/>
        <v>0</v>
      </c>
      <c r="AT98" s="46" t="e">
        <f t="shared" si="17"/>
        <v>#DIV/0!</v>
      </c>
      <c r="AU98" s="45">
        <f t="shared" si="18"/>
        <v>0</v>
      </c>
    </row>
    <row r="99" spans="1:47" ht="14.25" customHeight="1">
      <c r="A99" s="39" t="str">
        <f t="shared" ref="A99:A113" si="19">D99&amp;G99</f>
        <v>BHAGWATIROZ23742</v>
      </c>
      <c r="B99" s="39" t="s">
        <v>121</v>
      </c>
      <c r="C99" s="39" t="str">
        <f t="shared" ref="C99:C113" si="20">B99&amp;G99</f>
        <v>BWROZ23742</v>
      </c>
      <c r="D99" s="39" t="s">
        <v>24</v>
      </c>
      <c r="E99" s="39" t="s">
        <v>23</v>
      </c>
      <c r="F99" s="41" t="s">
        <v>30</v>
      </c>
      <c r="G99" s="41" t="s">
        <v>73</v>
      </c>
      <c r="H99" s="42" t="s">
        <v>74</v>
      </c>
      <c r="I99" s="43">
        <v>5</v>
      </c>
      <c r="J99" s="44">
        <v>32</v>
      </c>
      <c r="K99" s="44">
        <v>144</v>
      </c>
      <c r="L99" s="61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65"/>
      <c r="AR99" s="54">
        <f t="shared" ref="AR99:AR113" si="21">SUM(M99:AP99)</f>
        <v>0</v>
      </c>
      <c r="AS99" s="45">
        <f t="shared" ref="AS99:AS113" si="22">(AR99*J99*K99)/1000000</f>
        <v>0</v>
      </c>
      <c r="AT99" s="46" t="e">
        <f t="shared" ref="AT99:AT113" si="23">AS99/L99</f>
        <v>#DIV/0!</v>
      </c>
      <c r="AU99" s="45">
        <f t="shared" ref="AU99:AU113" si="24">L99-AS99</f>
        <v>0</v>
      </c>
    </row>
    <row r="100" spans="1:47" ht="14.25" customHeight="1">
      <c r="A100" s="39" t="str">
        <f t="shared" si="19"/>
        <v>BHAGWATIROZ36954</v>
      </c>
      <c r="B100" s="39" t="s">
        <v>121</v>
      </c>
      <c r="C100" s="39" t="str">
        <f t="shared" si="20"/>
        <v>BWROZ36954</v>
      </c>
      <c r="D100" s="39" t="s">
        <v>24</v>
      </c>
      <c r="E100" s="39" t="s">
        <v>23</v>
      </c>
      <c r="F100" s="41" t="s">
        <v>30</v>
      </c>
      <c r="G100" s="41" t="s">
        <v>75</v>
      </c>
      <c r="H100" s="42" t="s">
        <v>76</v>
      </c>
      <c r="I100" s="43">
        <v>5</v>
      </c>
      <c r="J100" s="44">
        <v>30</v>
      </c>
      <c r="K100" s="44">
        <v>144</v>
      </c>
      <c r="L100" s="61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65"/>
      <c r="AR100" s="54">
        <f t="shared" si="21"/>
        <v>0</v>
      </c>
      <c r="AS100" s="45">
        <f t="shared" si="22"/>
        <v>0</v>
      </c>
      <c r="AT100" s="46" t="e">
        <f t="shared" si="23"/>
        <v>#DIV/0!</v>
      </c>
      <c r="AU100" s="45">
        <f t="shared" si="24"/>
        <v>0</v>
      </c>
    </row>
    <row r="101" spans="1:47" ht="14.25" customHeight="1">
      <c r="A101" s="39" t="str">
        <f t="shared" si="19"/>
        <v>BHAGWATIROZ36955</v>
      </c>
      <c r="B101" s="39" t="s">
        <v>121</v>
      </c>
      <c r="C101" s="39" t="str">
        <f t="shared" si="20"/>
        <v>BWROZ36955</v>
      </c>
      <c r="D101" s="39" t="s">
        <v>24</v>
      </c>
      <c r="E101" s="39" t="s">
        <v>23</v>
      </c>
      <c r="F101" s="41" t="s">
        <v>30</v>
      </c>
      <c r="G101" s="41" t="s">
        <v>77</v>
      </c>
      <c r="H101" s="42" t="s">
        <v>78</v>
      </c>
      <c r="I101" s="43">
        <v>10</v>
      </c>
      <c r="J101" s="44">
        <v>70</v>
      </c>
      <c r="K101" s="44">
        <v>60</v>
      </c>
      <c r="L101" s="61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65"/>
      <c r="AR101" s="54">
        <f t="shared" si="21"/>
        <v>0</v>
      </c>
      <c r="AS101" s="45">
        <f t="shared" si="22"/>
        <v>0</v>
      </c>
      <c r="AT101" s="46" t="e">
        <f t="shared" si="23"/>
        <v>#DIV/0!</v>
      </c>
      <c r="AU101" s="45">
        <f t="shared" si="24"/>
        <v>0</v>
      </c>
    </row>
    <row r="102" spans="1:47" ht="14.25" customHeight="1">
      <c r="A102" s="39" t="str">
        <f t="shared" si="19"/>
        <v>BHAGWATIROZ36956</v>
      </c>
      <c r="B102" s="39" t="s">
        <v>121</v>
      </c>
      <c r="C102" s="39" t="str">
        <f t="shared" si="20"/>
        <v>BWROZ36956</v>
      </c>
      <c r="D102" s="39" t="s">
        <v>24</v>
      </c>
      <c r="E102" s="39" t="s">
        <v>23</v>
      </c>
      <c r="F102" s="41" t="s">
        <v>30</v>
      </c>
      <c r="G102" s="41" t="s">
        <v>79</v>
      </c>
      <c r="H102" s="42" t="s">
        <v>80</v>
      </c>
      <c r="I102" s="43">
        <v>10</v>
      </c>
      <c r="J102" s="44">
        <v>70</v>
      </c>
      <c r="K102" s="44">
        <v>60</v>
      </c>
      <c r="L102" s="61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65"/>
      <c r="AR102" s="54">
        <f t="shared" si="21"/>
        <v>0</v>
      </c>
      <c r="AS102" s="45">
        <f t="shared" si="22"/>
        <v>0</v>
      </c>
      <c r="AT102" s="46" t="e">
        <f t="shared" si="23"/>
        <v>#DIV/0!</v>
      </c>
      <c r="AU102" s="45">
        <f t="shared" si="24"/>
        <v>0</v>
      </c>
    </row>
    <row r="103" spans="1:47" ht="14.25" customHeight="1">
      <c r="A103" s="39" t="str">
        <f t="shared" si="19"/>
        <v>BHAGWATIROZ36957</v>
      </c>
      <c r="B103" s="39" t="s">
        <v>121</v>
      </c>
      <c r="C103" s="39" t="str">
        <f t="shared" si="20"/>
        <v>BWROZ36957</v>
      </c>
      <c r="D103" s="39" t="s">
        <v>24</v>
      </c>
      <c r="E103" s="39" t="s">
        <v>23</v>
      </c>
      <c r="F103" s="41" t="s">
        <v>30</v>
      </c>
      <c r="G103" s="41" t="s">
        <v>81</v>
      </c>
      <c r="H103" s="42" t="s">
        <v>82</v>
      </c>
      <c r="I103" s="43">
        <v>10</v>
      </c>
      <c r="J103" s="44">
        <v>70</v>
      </c>
      <c r="K103" s="44">
        <v>60</v>
      </c>
      <c r="L103" s="61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65"/>
      <c r="AR103" s="54">
        <f t="shared" si="21"/>
        <v>0</v>
      </c>
      <c r="AS103" s="45">
        <f t="shared" si="22"/>
        <v>0</v>
      </c>
      <c r="AT103" s="46" t="e">
        <f t="shared" si="23"/>
        <v>#DIV/0!</v>
      </c>
      <c r="AU103" s="45">
        <f t="shared" si="24"/>
        <v>0</v>
      </c>
    </row>
    <row r="104" spans="1:47" ht="14.25" customHeight="1">
      <c r="A104" s="39" t="str">
        <f t="shared" si="19"/>
        <v>BHAGWATIROZ39495</v>
      </c>
      <c r="B104" s="39" t="s">
        <v>121</v>
      </c>
      <c r="C104" s="39" t="str">
        <f t="shared" si="20"/>
        <v>BWROZ39495</v>
      </c>
      <c r="D104" s="39" t="s">
        <v>24</v>
      </c>
      <c r="E104" s="39" t="s">
        <v>23</v>
      </c>
      <c r="F104" s="41" t="s">
        <v>30</v>
      </c>
      <c r="G104" s="41" t="s">
        <v>83</v>
      </c>
      <c r="H104" s="42" t="s">
        <v>84</v>
      </c>
      <c r="I104" s="43">
        <v>10</v>
      </c>
      <c r="J104" s="44">
        <v>70</v>
      </c>
      <c r="K104" s="44">
        <v>72</v>
      </c>
      <c r="L104" s="61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65"/>
      <c r="AR104" s="54">
        <f t="shared" si="21"/>
        <v>0</v>
      </c>
      <c r="AS104" s="45">
        <f t="shared" si="22"/>
        <v>0</v>
      </c>
      <c r="AT104" s="46" t="e">
        <f t="shared" si="23"/>
        <v>#DIV/0!</v>
      </c>
      <c r="AU104" s="45">
        <f t="shared" si="24"/>
        <v>0</v>
      </c>
    </row>
    <row r="105" spans="1:47" ht="14.25" customHeight="1">
      <c r="A105" s="39" t="str">
        <f t="shared" si="19"/>
        <v>BHAGWATIROZ36959</v>
      </c>
      <c r="B105" s="39" t="s">
        <v>121</v>
      </c>
      <c r="C105" s="39" t="str">
        <f t="shared" si="20"/>
        <v>BWROZ36959</v>
      </c>
      <c r="D105" s="39" t="s">
        <v>24</v>
      </c>
      <c r="E105" s="39" t="s">
        <v>23</v>
      </c>
      <c r="F105" s="41" t="s">
        <v>30</v>
      </c>
      <c r="G105" s="41" t="s">
        <v>85</v>
      </c>
      <c r="H105" s="42" t="s">
        <v>86</v>
      </c>
      <c r="I105" s="43">
        <v>10</v>
      </c>
      <c r="J105" s="44">
        <v>65</v>
      </c>
      <c r="K105" s="44">
        <v>60</v>
      </c>
      <c r="L105" s="61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65"/>
      <c r="AR105" s="54">
        <f t="shared" si="21"/>
        <v>0</v>
      </c>
      <c r="AS105" s="45">
        <f t="shared" si="22"/>
        <v>0</v>
      </c>
      <c r="AT105" s="46" t="e">
        <f t="shared" si="23"/>
        <v>#DIV/0!</v>
      </c>
      <c r="AU105" s="45">
        <f t="shared" si="24"/>
        <v>0</v>
      </c>
    </row>
    <row r="106" spans="1:47" ht="14.25" customHeight="1">
      <c r="A106" s="39" t="str">
        <f t="shared" si="19"/>
        <v>BHAGWATIROZ36958</v>
      </c>
      <c r="B106" s="39" t="s">
        <v>121</v>
      </c>
      <c r="C106" s="39" t="str">
        <f t="shared" si="20"/>
        <v>BWROZ36958</v>
      </c>
      <c r="D106" s="39" t="s">
        <v>24</v>
      </c>
      <c r="E106" s="39" t="s">
        <v>23</v>
      </c>
      <c r="F106" s="41" t="s">
        <v>30</v>
      </c>
      <c r="G106" s="41" t="s">
        <v>87</v>
      </c>
      <c r="H106" s="42" t="s">
        <v>88</v>
      </c>
      <c r="I106" s="43">
        <v>10</v>
      </c>
      <c r="J106" s="44">
        <v>65</v>
      </c>
      <c r="K106" s="44">
        <v>60</v>
      </c>
      <c r="L106" s="61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65"/>
      <c r="AR106" s="54">
        <f t="shared" si="21"/>
        <v>0</v>
      </c>
      <c r="AS106" s="45">
        <f t="shared" si="22"/>
        <v>0</v>
      </c>
      <c r="AT106" s="46" t="e">
        <f t="shared" si="23"/>
        <v>#DIV/0!</v>
      </c>
      <c r="AU106" s="45">
        <f t="shared" si="24"/>
        <v>0</v>
      </c>
    </row>
    <row r="107" spans="1:47" ht="14.25" customHeight="1">
      <c r="A107" s="39" t="str">
        <f t="shared" si="19"/>
        <v>BHAGWATIROZ36962</v>
      </c>
      <c r="B107" s="39" t="s">
        <v>121</v>
      </c>
      <c r="C107" s="39" t="str">
        <f t="shared" si="20"/>
        <v>BWROZ36962</v>
      </c>
      <c r="D107" s="39" t="s">
        <v>24</v>
      </c>
      <c r="E107" s="39" t="s">
        <v>23</v>
      </c>
      <c r="F107" s="41" t="s">
        <v>30</v>
      </c>
      <c r="G107" s="41" t="s">
        <v>89</v>
      </c>
      <c r="H107" s="40" t="s">
        <v>90</v>
      </c>
      <c r="I107" s="43">
        <v>10</v>
      </c>
      <c r="J107" s="44">
        <v>75</v>
      </c>
      <c r="K107" s="44">
        <v>72</v>
      </c>
      <c r="L107" s="61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65"/>
      <c r="AR107" s="54">
        <f t="shared" si="21"/>
        <v>0</v>
      </c>
      <c r="AS107" s="45">
        <f t="shared" si="22"/>
        <v>0</v>
      </c>
      <c r="AT107" s="46" t="e">
        <f t="shared" si="23"/>
        <v>#DIV/0!</v>
      </c>
      <c r="AU107" s="45">
        <f t="shared" si="24"/>
        <v>0</v>
      </c>
    </row>
    <row r="108" spans="1:47" ht="14.25" customHeight="1">
      <c r="A108" s="39" t="str">
        <f t="shared" si="19"/>
        <v>BHAGWATIROZ36961</v>
      </c>
      <c r="B108" s="39" t="s">
        <v>121</v>
      </c>
      <c r="C108" s="39" t="str">
        <f t="shared" si="20"/>
        <v>BWROZ36961</v>
      </c>
      <c r="D108" s="39" t="s">
        <v>24</v>
      </c>
      <c r="E108" s="39" t="s">
        <v>23</v>
      </c>
      <c r="F108" s="41" t="s">
        <v>30</v>
      </c>
      <c r="G108" s="41" t="s">
        <v>91</v>
      </c>
      <c r="H108" s="42" t="s">
        <v>92</v>
      </c>
      <c r="I108" s="43">
        <v>10</v>
      </c>
      <c r="J108" s="44">
        <v>65</v>
      </c>
      <c r="K108" s="44">
        <v>72</v>
      </c>
      <c r="L108" s="61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65"/>
      <c r="AR108" s="54">
        <f t="shared" si="21"/>
        <v>0</v>
      </c>
      <c r="AS108" s="45">
        <f t="shared" si="22"/>
        <v>0</v>
      </c>
      <c r="AT108" s="46" t="e">
        <f t="shared" si="23"/>
        <v>#DIV/0!</v>
      </c>
      <c r="AU108" s="45">
        <f t="shared" si="24"/>
        <v>0</v>
      </c>
    </row>
    <row r="109" spans="1:47" ht="14.25" customHeight="1">
      <c r="A109" s="39" t="str">
        <f t="shared" si="19"/>
        <v>BHAGWATIROZ36960</v>
      </c>
      <c r="B109" s="39" t="s">
        <v>121</v>
      </c>
      <c r="C109" s="39" t="str">
        <f t="shared" si="20"/>
        <v>BWROZ36960</v>
      </c>
      <c r="D109" s="39" t="s">
        <v>24</v>
      </c>
      <c r="E109" s="39" t="s">
        <v>23</v>
      </c>
      <c r="F109" s="41" t="s">
        <v>30</v>
      </c>
      <c r="G109" s="41" t="s">
        <v>93</v>
      </c>
      <c r="H109" s="42" t="s">
        <v>94</v>
      </c>
      <c r="I109" s="43">
        <v>10</v>
      </c>
      <c r="J109" s="44">
        <v>60</v>
      </c>
      <c r="K109" s="44">
        <v>60</v>
      </c>
      <c r="L109" s="61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65"/>
      <c r="AR109" s="54">
        <f t="shared" si="21"/>
        <v>0</v>
      </c>
      <c r="AS109" s="45">
        <f t="shared" si="22"/>
        <v>0</v>
      </c>
      <c r="AT109" s="46" t="e">
        <f t="shared" si="23"/>
        <v>#DIV/0!</v>
      </c>
      <c r="AU109" s="45">
        <f t="shared" si="24"/>
        <v>0</v>
      </c>
    </row>
    <row r="110" spans="1:47" ht="14.25" customHeight="1">
      <c r="A110" s="39" t="str">
        <f t="shared" si="19"/>
        <v>BHAGWATIROZ50020</v>
      </c>
      <c r="B110" s="39" t="s">
        <v>121</v>
      </c>
      <c r="C110" s="39" t="str">
        <f t="shared" si="20"/>
        <v>BWROZ50020</v>
      </c>
      <c r="D110" s="39" t="s">
        <v>24</v>
      </c>
      <c r="E110" s="39" t="s">
        <v>23</v>
      </c>
      <c r="F110" s="41" t="s">
        <v>30</v>
      </c>
      <c r="G110" s="39" t="s">
        <v>99</v>
      </c>
      <c r="H110" s="39" t="s">
        <v>100</v>
      </c>
      <c r="I110" s="43">
        <v>5</v>
      </c>
      <c r="J110" s="44">
        <v>35</v>
      </c>
      <c r="K110" s="44">
        <v>144</v>
      </c>
      <c r="L110" s="61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65"/>
      <c r="AR110" s="54">
        <f t="shared" si="21"/>
        <v>0</v>
      </c>
      <c r="AS110" s="45">
        <f t="shared" si="22"/>
        <v>0</v>
      </c>
      <c r="AT110" s="46" t="e">
        <f t="shared" si="23"/>
        <v>#DIV/0!</v>
      </c>
      <c r="AU110" s="45">
        <f t="shared" si="24"/>
        <v>0</v>
      </c>
    </row>
    <row r="111" spans="1:47" ht="14.25" customHeight="1">
      <c r="A111" s="39" t="str">
        <f t="shared" si="19"/>
        <v>BHAGWATI1</v>
      </c>
      <c r="B111" s="39" t="s">
        <v>121</v>
      </c>
      <c r="C111" s="39" t="str">
        <f t="shared" si="20"/>
        <v>BW1</v>
      </c>
      <c r="D111" s="39" t="s">
        <v>24</v>
      </c>
      <c r="E111" s="39" t="s">
        <v>23</v>
      </c>
      <c r="F111" s="41" t="s">
        <v>30</v>
      </c>
      <c r="G111" s="39">
        <v>1</v>
      </c>
      <c r="H111" s="47" t="s">
        <v>101</v>
      </c>
      <c r="I111" s="39">
        <v>30</v>
      </c>
      <c r="J111" s="39">
        <v>140</v>
      </c>
      <c r="K111" s="39">
        <v>40</v>
      </c>
      <c r="L111" s="61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65"/>
      <c r="AR111" s="54">
        <f t="shared" si="21"/>
        <v>0</v>
      </c>
      <c r="AS111" s="45">
        <f t="shared" si="22"/>
        <v>0</v>
      </c>
      <c r="AT111" s="46" t="e">
        <f t="shared" si="23"/>
        <v>#DIV/0!</v>
      </c>
      <c r="AU111" s="45">
        <f t="shared" si="24"/>
        <v>0</v>
      </c>
    </row>
    <row r="112" spans="1:47" ht="14.25" customHeight="1">
      <c r="A112" s="39" t="str">
        <f t="shared" si="19"/>
        <v>Shri ShyamROZ23760</v>
      </c>
      <c r="B112" s="39" t="s">
        <v>122</v>
      </c>
      <c r="C112" s="39" t="str">
        <f t="shared" si="20"/>
        <v>PNBROZ23760</v>
      </c>
      <c r="D112" s="39" t="s">
        <v>26</v>
      </c>
      <c r="E112" s="39" t="s">
        <v>25</v>
      </c>
      <c r="F112" s="41" t="s">
        <v>31</v>
      </c>
      <c r="G112" s="39" t="s">
        <v>95</v>
      </c>
      <c r="H112" s="47" t="s">
        <v>96</v>
      </c>
      <c r="I112" s="43">
        <v>20</v>
      </c>
      <c r="J112" s="44">
        <v>130</v>
      </c>
      <c r="K112" s="44">
        <v>24</v>
      </c>
      <c r="L112" s="61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65"/>
      <c r="AR112" s="54">
        <f t="shared" si="21"/>
        <v>0</v>
      </c>
      <c r="AS112" s="45">
        <f t="shared" si="22"/>
        <v>0</v>
      </c>
      <c r="AT112" s="46" t="e">
        <f t="shared" si="23"/>
        <v>#DIV/0!</v>
      </c>
      <c r="AU112" s="45">
        <f t="shared" si="24"/>
        <v>0</v>
      </c>
    </row>
    <row r="113" spans="1:47" ht="14.25" customHeight="1">
      <c r="A113" s="39" t="str">
        <f t="shared" si="19"/>
        <v>Shri ShyamROZ23759</v>
      </c>
      <c r="B113" s="39" t="s">
        <v>122</v>
      </c>
      <c r="C113" s="39" t="str">
        <f t="shared" si="20"/>
        <v>PNBROZ23759</v>
      </c>
      <c r="D113" s="39" t="s">
        <v>26</v>
      </c>
      <c r="E113" s="39" t="s">
        <v>25</v>
      </c>
      <c r="F113" s="41" t="s">
        <v>31</v>
      </c>
      <c r="G113" s="39" t="s">
        <v>97</v>
      </c>
      <c r="H113" s="47" t="s">
        <v>98</v>
      </c>
      <c r="I113" s="43">
        <v>10</v>
      </c>
      <c r="J113" s="44">
        <v>65</v>
      </c>
      <c r="K113" s="44">
        <v>24</v>
      </c>
      <c r="L113" s="61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65"/>
      <c r="AR113" s="54">
        <f t="shared" si="21"/>
        <v>0</v>
      </c>
      <c r="AS113" s="45">
        <f t="shared" si="22"/>
        <v>0</v>
      </c>
      <c r="AT113" s="46" t="e">
        <f t="shared" si="23"/>
        <v>#DIV/0!</v>
      </c>
      <c r="AU113" s="45">
        <f t="shared" si="24"/>
        <v>0</v>
      </c>
    </row>
    <row r="114" spans="1:47" ht="14.25" customHeight="1"/>
    <row r="115" spans="1:47" ht="14.25" customHeight="1"/>
    <row r="116" spans="1:47" ht="14.25" customHeight="1"/>
    <row r="117" spans="1:47" ht="14.25" customHeight="1"/>
    <row r="118" spans="1:47" ht="14.25" customHeight="1"/>
    <row r="119" spans="1:47" ht="14.25" customHeight="1"/>
    <row r="120" spans="1:47" ht="14.25" customHeight="1"/>
    <row r="121" spans="1:47" ht="14.25" customHeight="1"/>
    <row r="122" spans="1:47" ht="14.25" customHeight="1"/>
    <row r="123" spans="1:47" ht="14.25" customHeight="1"/>
    <row r="124" spans="1:47" ht="14.25" customHeight="1"/>
    <row r="125" spans="1:47" ht="14.25" customHeight="1"/>
    <row r="126" spans="1:47" ht="14.25" customHeight="1"/>
    <row r="127" spans="1:47" ht="14.25" customHeight="1"/>
    <row r="128" spans="1:47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Tracker</vt:lpstr>
      <vt:lpstr>Plant-wise Tracker</vt:lpstr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Rozana</dc:creator>
  <dc:description/>
  <cp:lastModifiedBy>ashu mondal</cp:lastModifiedBy>
  <cp:revision>3</cp:revision>
  <dcterms:created xsi:type="dcterms:W3CDTF">2015-06-05T18:17:20Z</dcterms:created>
  <dcterms:modified xsi:type="dcterms:W3CDTF">2026-10-01T12:46:39Z</dcterms:modified>
  <dc:language>en-US</dc:language>
</cp:coreProperties>
</file>